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kapray/Desktop/"/>
    </mc:Choice>
  </mc:AlternateContent>
  <xr:revisionPtr revIDLastSave="0" documentId="13_ncr:1_{64C5E490-5E5A-BA46-9259-D487C1505184}" xr6:coauthVersionLast="47" xr6:coauthVersionMax="47" xr10:uidLastSave="{00000000-0000-0000-0000-000000000000}"/>
  <bookViews>
    <workbookView xWindow="0" yWindow="760" windowWidth="30240" windowHeight="18880" xr2:uid="{7EB0538F-10BE-0344-9550-A613F5879100}"/>
  </bookViews>
  <sheets>
    <sheet name="Percentage (eg Traceability)" sheetId="5" r:id="rId1"/>
    <sheet name="Average (eg UPH)" sheetId="2" r:id="rId2"/>
    <sheet name="Numbers (eg Testing)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" i="3" l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S41" i="5"/>
  <c r="T41" i="5" s="1"/>
  <c r="R41" i="5"/>
  <c r="Q41" i="5"/>
  <c r="P41" i="5"/>
  <c r="H41" i="5"/>
  <c r="G41" i="5"/>
  <c r="E41" i="5"/>
  <c r="S40" i="5"/>
  <c r="T40" i="5" s="1"/>
  <c r="R40" i="5"/>
  <c r="Q40" i="5"/>
  <c r="P40" i="5"/>
  <c r="H40" i="5"/>
  <c r="G40" i="5"/>
  <c r="E40" i="5"/>
  <c r="S39" i="5"/>
  <c r="T39" i="5" s="1"/>
  <c r="R39" i="5"/>
  <c r="Q39" i="5"/>
  <c r="P39" i="5"/>
  <c r="H39" i="5"/>
  <c r="G39" i="5"/>
  <c r="E39" i="5"/>
  <c r="P38" i="5"/>
  <c r="H38" i="5"/>
  <c r="G38" i="5"/>
  <c r="P37" i="5"/>
  <c r="H37" i="5"/>
  <c r="G37" i="5"/>
  <c r="P36" i="5"/>
  <c r="H36" i="5"/>
  <c r="G36" i="5"/>
  <c r="P35" i="5"/>
  <c r="H35" i="5"/>
  <c r="G35" i="5"/>
  <c r="P34" i="5"/>
  <c r="Q34" i="5" s="1"/>
  <c r="H34" i="5"/>
  <c r="G34" i="5"/>
  <c r="P33" i="5"/>
  <c r="Q33" i="5" s="1"/>
  <c r="R33" i="5" s="1"/>
  <c r="H33" i="5"/>
  <c r="G33" i="5"/>
  <c r="P32" i="5"/>
  <c r="Q32" i="5" s="1"/>
  <c r="R32" i="5" s="1"/>
  <c r="H32" i="5"/>
  <c r="G32" i="5"/>
  <c r="P31" i="5"/>
  <c r="Q31" i="5" s="1"/>
  <c r="R31" i="5" s="1"/>
  <c r="H31" i="5"/>
  <c r="G31" i="5"/>
  <c r="P30" i="5"/>
  <c r="Q30" i="5" s="1"/>
  <c r="R30" i="5" s="1"/>
  <c r="H30" i="5"/>
  <c r="G30" i="5"/>
  <c r="S29" i="5"/>
  <c r="S30" i="5" s="1"/>
  <c r="R29" i="5"/>
  <c r="T29" i="5" s="1"/>
  <c r="E29" i="5"/>
  <c r="D29" i="5"/>
  <c r="P29" i="5" s="1"/>
  <c r="Q29" i="5" s="1"/>
  <c r="N32" i="2"/>
  <c r="L33" i="2"/>
  <c r="P31" i="3"/>
  <c r="P32" i="3"/>
  <c r="P33" i="3"/>
  <c r="P34" i="3"/>
  <c r="P35" i="3"/>
  <c r="P36" i="3"/>
  <c r="P37" i="3"/>
  <c r="P38" i="3"/>
  <c r="P39" i="3"/>
  <c r="P40" i="3"/>
  <c r="P41" i="3"/>
  <c r="G32" i="2"/>
  <c r="G33" i="2"/>
  <c r="G34" i="2"/>
  <c r="G35" i="2"/>
  <c r="G36" i="2"/>
  <c r="G37" i="2"/>
  <c r="G38" i="2"/>
  <c r="G39" i="2"/>
  <c r="G40" i="2"/>
  <c r="G41" i="2"/>
  <c r="G31" i="2"/>
  <c r="R29" i="2"/>
  <c r="R29" i="3"/>
  <c r="P30" i="2"/>
  <c r="Q30" i="2" s="1"/>
  <c r="R30" i="2" s="1"/>
  <c r="P31" i="2"/>
  <c r="P32" i="2"/>
  <c r="P33" i="2"/>
  <c r="P34" i="2"/>
  <c r="P35" i="2"/>
  <c r="P36" i="2"/>
  <c r="P37" i="2"/>
  <c r="P38" i="2"/>
  <c r="P39" i="2"/>
  <c r="P40" i="2"/>
  <c r="P41" i="2"/>
  <c r="P30" i="3"/>
  <c r="H34" i="2"/>
  <c r="H35" i="2"/>
  <c r="H36" i="2"/>
  <c r="H37" i="2"/>
  <c r="H38" i="2"/>
  <c r="H39" i="2"/>
  <c r="H40" i="2"/>
  <c r="H41" i="2"/>
  <c r="D29" i="3"/>
  <c r="P29" i="3" s="1"/>
  <c r="Q29" i="3" s="1"/>
  <c r="D29" i="2"/>
  <c r="P29" i="2"/>
  <c r="Q29" i="2" s="1"/>
  <c r="S29" i="2"/>
  <c r="S30" i="2" s="1"/>
  <c r="E29" i="2"/>
  <c r="G30" i="2"/>
  <c r="H30" i="2"/>
  <c r="H31" i="2"/>
  <c r="H32" i="2"/>
  <c r="H33" i="2"/>
  <c r="H41" i="3"/>
  <c r="H40" i="3"/>
  <c r="H39" i="3"/>
  <c r="H38" i="3"/>
  <c r="H37" i="3"/>
  <c r="H36" i="3"/>
  <c r="H35" i="3"/>
  <c r="H34" i="3"/>
  <c r="H33" i="3"/>
  <c r="H32" i="3"/>
  <c r="H31" i="3"/>
  <c r="H30" i="3"/>
  <c r="L18" i="5" l="1" a="1"/>
  <c r="L18" i="5" s="1"/>
  <c r="E30" i="5"/>
  <c r="T30" i="5"/>
  <c r="E31" i="5" s="1"/>
  <c r="S31" i="5"/>
  <c r="R34" i="5"/>
  <c r="S31" i="2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T30" i="2"/>
  <c r="E31" i="2" s="1"/>
  <c r="T29" i="2"/>
  <c r="E30" i="2" s="1"/>
  <c r="S32" i="5" l="1"/>
  <c r="T31" i="5"/>
  <c r="E32" i="5" s="1"/>
  <c r="Q31" i="2"/>
  <c r="R31" i="2" s="1"/>
  <c r="T31" i="2"/>
  <c r="L18" i="2" a="1"/>
  <c r="L18" i="2" s="1"/>
  <c r="S33" i="5" l="1"/>
  <c r="T32" i="5"/>
  <c r="E33" i="5" s="1"/>
  <c r="E32" i="2"/>
  <c r="Q32" i="2"/>
  <c r="R32" i="2" s="1"/>
  <c r="T32" i="2"/>
  <c r="T33" i="5" l="1"/>
  <c r="E34" i="5" s="1"/>
  <c r="S34" i="5"/>
  <c r="E33" i="2"/>
  <c r="Q33" i="2"/>
  <c r="R33" i="2" s="1"/>
  <c r="T33" i="2" s="1"/>
  <c r="E34" i="2" s="1"/>
  <c r="S29" i="3"/>
  <c r="S30" i="3" s="1"/>
  <c r="G29" i="3"/>
  <c r="T34" i="5" l="1"/>
  <c r="S35" i="5"/>
  <c r="S31" i="3"/>
  <c r="Q34" i="2"/>
  <c r="T29" i="3"/>
  <c r="S36" i="5" l="1"/>
  <c r="E35" i="5"/>
  <c r="Q35" i="5"/>
  <c r="E30" i="3"/>
  <c r="Q30" i="3"/>
  <c r="R30" i="3" s="1"/>
  <c r="T30" i="3" s="1"/>
  <c r="Q31" i="3" s="1"/>
  <c r="R31" i="3" s="1"/>
  <c r="T31" i="3" s="1"/>
  <c r="Q32" i="3" s="1"/>
  <c r="R32" i="3" s="1"/>
  <c r="S32" i="3"/>
  <c r="R34" i="2"/>
  <c r="T34" i="2" s="1"/>
  <c r="E35" i="2" s="1"/>
  <c r="R35" i="5" l="1"/>
  <c r="T35" i="5" s="1"/>
  <c r="E36" i="5" s="1"/>
  <c r="S37" i="5"/>
  <c r="E31" i="3"/>
  <c r="S33" i="3"/>
  <c r="T32" i="3"/>
  <c r="Q33" i="3" s="1"/>
  <c r="R33" i="3" s="1"/>
  <c r="Q35" i="2"/>
  <c r="E32" i="3"/>
  <c r="Q36" i="5" l="1"/>
  <c r="R36" i="5" s="1"/>
  <c r="T36" i="5" s="1"/>
  <c r="E37" i="5" s="1"/>
  <c r="S38" i="5"/>
  <c r="T38" i="5" s="1"/>
  <c r="S34" i="3"/>
  <c r="T33" i="3"/>
  <c r="Q34" i="3" s="1"/>
  <c r="R34" i="3" s="1"/>
  <c r="R35" i="2"/>
  <c r="T35" i="2" s="1"/>
  <c r="E36" i="2" s="1"/>
  <c r="E33" i="3"/>
  <c r="Q37" i="5" l="1"/>
  <c r="R37" i="5" s="1"/>
  <c r="T37" i="5" s="1"/>
  <c r="Q38" i="5" s="1"/>
  <c r="R38" i="5" s="1"/>
  <c r="Q36" i="2"/>
  <c r="R36" i="2" s="1"/>
  <c r="T36" i="2" s="1"/>
  <c r="Q37" i="2" s="1"/>
  <c r="R37" i="2" s="1"/>
  <c r="T37" i="2" s="1"/>
  <c r="S35" i="3"/>
  <c r="T34" i="3"/>
  <c r="Q35" i="3" s="1"/>
  <c r="R35" i="3" s="1"/>
  <c r="E34" i="3"/>
  <c r="E38" i="5" l="1"/>
  <c r="S36" i="3"/>
  <c r="T35" i="3"/>
  <c r="Q36" i="3" s="1"/>
  <c r="R36" i="3" s="1"/>
  <c r="E37" i="2"/>
  <c r="E38" i="2"/>
  <c r="Q38" i="2"/>
  <c r="S37" i="3" l="1"/>
  <c r="S38" i="3" s="1"/>
  <c r="S39" i="3" s="1"/>
  <c r="S40" i="3" s="1"/>
  <c r="T36" i="3"/>
  <c r="R38" i="2"/>
  <c r="T38" i="2" s="1"/>
  <c r="Q39" i="2" s="1"/>
  <c r="T41" i="2"/>
  <c r="E36" i="3"/>
  <c r="E35" i="3"/>
  <c r="Q37" i="3" l="1"/>
  <c r="R37" i="3" s="1"/>
  <c r="T37" i="3" s="1"/>
  <c r="E39" i="2"/>
  <c r="S41" i="3"/>
  <c r="R39" i="2"/>
  <c r="E37" i="3"/>
  <c r="Q38" i="3" l="1"/>
  <c r="R38" i="3" s="1"/>
  <c r="T38" i="3" s="1"/>
  <c r="T39" i="2"/>
  <c r="E38" i="3"/>
  <c r="Q39" i="3" l="1"/>
  <c r="E39" i="3"/>
  <c r="L18" i="3" a="1"/>
  <c r="L18" i="3" s="1"/>
  <c r="Q40" i="2"/>
  <c r="R40" i="2" s="1"/>
  <c r="T40" i="2" s="1"/>
  <c r="E40" i="2"/>
  <c r="R39" i="3" l="1"/>
  <c r="T39" i="3" s="1"/>
  <c r="E40" i="3" s="1"/>
  <c r="E41" i="2"/>
  <c r="Q41" i="2"/>
  <c r="R41" i="2" s="1"/>
  <c r="T41" i="3"/>
  <c r="Q40" i="3" l="1"/>
  <c r="R40" i="3" l="1"/>
  <c r="T40" i="3" s="1"/>
  <c r="Q41" i="3" s="1"/>
  <c r="R41" i="3" l="1"/>
  <c r="E4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<sst xmlns="http://schemas.openxmlformats.org/spreadsheetml/2006/main" count="185" uniqueCount="56">
  <si>
    <t>Goal Summary:</t>
  </si>
  <si>
    <t>&lt;Provide brief description about the goal&gt;</t>
  </si>
  <si>
    <t>Goal ID</t>
  </si>
  <si>
    <t>&lt;Kingpin Goal&gt;</t>
  </si>
  <si>
    <t>&lt;Link&gt;</t>
  </si>
  <si>
    <t>Tier 1 Goal</t>
  </si>
  <si>
    <t>&lt;Enter Tier 1 Goal&gt;</t>
  </si>
  <si>
    <t>Goal Title</t>
  </si>
  <si>
    <t>&lt;Enter Goal Title&gt;</t>
  </si>
  <si>
    <t>UpperBound</t>
  </si>
  <si>
    <t>LowerBound</t>
  </si>
  <si>
    <t>=&lt; YTD &lt;</t>
  </si>
  <si>
    <t>&lt;Modify Upper and Lower Bounds&gt;</t>
  </si>
  <si>
    <t>Owners</t>
  </si>
  <si>
    <t>&lt;Enter Owners &amp; Contributors&gt;</t>
  </si>
  <si>
    <t xml:space="preserve"> The Goal Status Compares/References the latest YTD value</t>
  </si>
  <si>
    <t>=&lt;  YTD  &lt;</t>
  </si>
  <si>
    <t>Due Date</t>
  </si>
  <si>
    <t>&lt;Month&gt;</t>
  </si>
  <si>
    <t>&lt;Day&gt;</t>
  </si>
  <si>
    <t>Usage Instructions for Glidepath Dashboard</t>
  </si>
  <si>
    <t>Monthly KPI Tracker</t>
  </si>
  <si>
    <t>Sr no</t>
  </si>
  <si>
    <t>Month</t>
  </si>
  <si>
    <t>YTD</t>
  </si>
  <si>
    <t>Final Goal</t>
  </si>
  <si>
    <t>Headwinds / Tailwinds</t>
  </si>
  <si>
    <t>Remaining Goal</t>
  </si>
  <si>
    <t>Remaining Months</t>
  </si>
  <si>
    <t>Current Actuals</t>
  </si>
  <si>
    <t>Monthly targets</t>
  </si>
  <si>
    <t>Values</t>
  </si>
  <si>
    <t>Parameters</t>
  </si>
  <si>
    <t>`</t>
  </si>
  <si>
    <t>Monthly Delta Targets</t>
  </si>
  <si>
    <t>Monthly target Calculations</t>
  </si>
  <si>
    <t>Manual Inputs</t>
  </si>
  <si>
    <t>=&lt;  Current Actuals  &lt;</t>
  </si>
  <si>
    <t>Monthly Status Definitions</t>
  </si>
  <si>
    <t xml:space="preserve"> =&lt;</t>
  </si>
  <si>
    <t>&gt; Current Actuals &gt;</t>
  </si>
  <si>
    <t>Green: Current_actual meets or exceeds monthly targets</t>
  </si>
  <si>
    <t>&lt;Upper_bound = Threshold_KPI_value&gt;</t>
  </si>
  <si>
    <t>&lt;Lower_bound = Threshold_KPI_value&gt;</t>
  </si>
  <si>
    <t xml:space="preserve"> The Monthly Status Compares the Current_Actuals with its corresponding Monthly targets</t>
  </si>
  <si>
    <t>Red: Current_actual falls below Threshold_KPI_value</t>
  </si>
  <si>
    <t>MoM</t>
  </si>
  <si>
    <t>Adjusted Actuals</t>
  </si>
  <si>
    <t>Projected Totals</t>
  </si>
  <si>
    <t>YTD Status</t>
  </si>
  <si>
    <t>YTD Status Definitions</t>
  </si>
  <si>
    <t>Yellow: Current_Actuals falls less than Threshold_KPI_value</t>
  </si>
  <si>
    <r>
      <t xml:space="preserve">Please use Monthly Targets Goal Indicator or the overall YTD Goal indicator mentioned </t>
    </r>
    <r>
      <rPr>
        <b/>
        <sz val="12"/>
        <color theme="1"/>
        <rFont val="Aptos Narrow"/>
        <scheme val="minor"/>
      </rPr>
      <t>above</t>
    </r>
    <r>
      <rPr>
        <sz val="12"/>
        <color theme="1"/>
        <rFont val="Aptos Narrow"/>
        <scheme val="minor"/>
      </rPr>
      <t>.</t>
    </r>
  </si>
  <si>
    <r>
      <t xml:space="preserve">1. Fill Only the Manual Inputs table to automatically populate the monthly KPI tracker and charts:
     A. </t>
    </r>
    <r>
      <rPr>
        <sz val="12"/>
        <color rgb="FF0070C0"/>
        <rFont val="Aptos Narrow (Body)"/>
      </rPr>
      <t>Final Goal</t>
    </r>
    <r>
      <rPr>
        <sz val="12"/>
        <color rgb="FF0070C0"/>
        <rFont val="Aptos Narrow"/>
        <scheme val="minor"/>
      </rPr>
      <t>:</t>
    </r>
    <r>
      <rPr>
        <sz val="12"/>
        <color theme="1"/>
        <rFont val="Aptos Narrow"/>
        <scheme val="minor"/>
      </rPr>
      <t xml:space="preserve"> Enter the year end  goal. </t>
    </r>
    <r>
      <rPr>
        <sz val="12"/>
        <color theme="4"/>
        <rFont val="Aptos Narrow"/>
        <scheme val="minor"/>
      </rPr>
      <t>I37</t>
    </r>
    <r>
      <rPr>
        <sz val="12"/>
        <color theme="1"/>
        <rFont val="Aptos Narrow"/>
        <scheme val="minor"/>
      </rPr>
      <t xml:space="preserve">
     B. </t>
    </r>
    <r>
      <rPr>
        <sz val="12"/>
        <color rgb="FF0070C0"/>
        <rFont val="Aptos Narrow (Body)"/>
      </rPr>
      <t>Initial KPI Value:</t>
    </r>
    <r>
      <rPr>
        <sz val="12"/>
        <color theme="1"/>
        <rFont val="Aptos Narrow"/>
        <scheme val="minor"/>
      </rPr>
      <t xml:space="preserve"> Enter the initial/start value of your KPI metric. </t>
    </r>
    <r>
      <rPr>
        <sz val="12"/>
        <color theme="4"/>
        <rFont val="Aptos Narrow"/>
        <scheme val="minor"/>
      </rPr>
      <t>I38</t>
    </r>
    <r>
      <rPr>
        <sz val="12"/>
        <color theme="1"/>
        <rFont val="Aptos Narrow"/>
        <scheme val="minor"/>
      </rPr>
      <t xml:space="preserve">
     C. </t>
    </r>
    <r>
      <rPr>
        <sz val="12"/>
        <color rgb="FF0070C0"/>
        <rFont val="Aptos Narrow (Body)"/>
      </rPr>
      <t>Actuals</t>
    </r>
    <r>
      <rPr>
        <sz val="12"/>
        <color theme="1"/>
        <rFont val="Aptos Narrow"/>
        <scheme val="minor"/>
      </rPr>
      <t>: Enter the actuals achieved for the month.</t>
    </r>
    <r>
      <rPr>
        <sz val="12"/>
        <color rgb="FF0070C0"/>
        <rFont val="Aptos Narrow"/>
        <scheme val="minor"/>
      </rPr>
      <t xml:space="preserve"> D37:D48
</t>
    </r>
    <r>
      <rPr>
        <sz val="12"/>
        <color theme="1"/>
        <rFont val="Aptos Narrow"/>
        <scheme val="minor"/>
      </rPr>
      <t xml:space="preserve">2. </t>
    </r>
    <r>
      <rPr>
        <sz val="12"/>
        <color rgb="FF0070C0"/>
        <rFont val="Aptos Narrow (Body)"/>
      </rPr>
      <t>Due Date</t>
    </r>
    <r>
      <rPr>
        <sz val="12"/>
        <color theme="1"/>
        <rFont val="Aptos Narrow"/>
        <scheme val="minor"/>
      </rPr>
      <t xml:space="preserve">: Please adjust the rows of "Month" column by adding or removing dates to match your goal timeline. </t>
    </r>
    <r>
      <rPr>
        <sz val="12"/>
        <color rgb="FF0070C0"/>
        <rFont val="Aptos Narrow"/>
        <scheme val="minor"/>
      </rPr>
      <t xml:space="preserve">C37:C48
     </t>
    </r>
    <r>
      <rPr>
        <sz val="12"/>
        <color theme="1"/>
        <rFont val="Aptos Narrow (Body)"/>
      </rPr>
      <t>You can use adjust due date by</t>
    </r>
    <r>
      <rPr>
        <sz val="12"/>
        <color rgb="FF0070C0"/>
        <rFont val="Aptos Narrow"/>
        <scheme val="minor"/>
      </rPr>
      <t xml:space="preserve"> "Click to Add" </t>
    </r>
    <r>
      <rPr>
        <sz val="12"/>
        <color theme="1"/>
        <rFont val="Aptos Narrow (Body)"/>
      </rPr>
      <t>for adding and</t>
    </r>
    <r>
      <rPr>
        <sz val="12"/>
        <color rgb="FF0070C0"/>
        <rFont val="Aptos Narrow"/>
        <scheme val="minor"/>
      </rPr>
      <t xml:space="preserve"> "Click to Remove" </t>
    </r>
    <r>
      <rPr>
        <sz val="12"/>
        <color theme="1"/>
        <rFont val="Aptos Narrow (Body)"/>
      </rPr>
      <t>for removing dates in the monthly calculation table.</t>
    </r>
    <r>
      <rPr>
        <sz val="12"/>
        <color rgb="FF0070C0"/>
        <rFont val="Aptos Narrow"/>
        <scheme val="minor"/>
      </rPr>
      <t xml:space="preserve">
</t>
    </r>
    <r>
      <rPr>
        <sz val="12"/>
        <color theme="1"/>
        <rFont val="Aptos Narrow"/>
        <scheme val="minor"/>
      </rPr>
      <t xml:space="preserve">3. Headwinds / Tailwinds (Optional): These values are automatically factored and adjusted in the monthly target projections—no manual calculation needed. </t>
    </r>
    <r>
      <rPr>
        <sz val="12"/>
        <color theme="3" tint="0.249977111117893"/>
        <rFont val="Aptos Narrow (Body)"/>
      </rPr>
      <t>F37:F48</t>
    </r>
    <r>
      <rPr>
        <sz val="12"/>
        <color theme="1"/>
        <rFont val="Aptos Narrow"/>
        <scheme val="minor"/>
      </rPr>
      <t xml:space="preserve">
     A. </t>
    </r>
    <r>
      <rPr>
        <sz val="12"/>
        <color rgb="FF0070C0"/>
        <rFont val="Aptos Narrow (Body)"/>
      </rPr>
      <t>Headwind</t>
    </r>
    <r>
      <rPr>
        <sz val="12"/>
        <color theme="1"/>
        <rFont val="Aptos Narrow"/>
        <scheme val="minor"/>
      </rPr>
      <t xml:space="preserve">-  Input negative bnumeric values to reflect any blockers and its impacts to YTD
     B. </t>
    </r>
    <r>
      <rPr>
        <sz val="12"/>
        <color rgb="FF0070C0"/>
        <rFont val="Aptos Narrow (Body)"/>
      </rPr>
      <t>Tailwinds</t>
    </r>
    <r>
      <rPr>
        <sz val="12"/>
        <color theme="1"/>
        <rFont val="Aptos Narrow"/>
        <scheme val="minor"/>
      </rPr>
      <t xml:space="preserve">-  Input positive numeric values to reflect any accelerators and its impacts to YTD
4. Fill up the meta-data information about your Goal. </t>
    </r>
    <r>
      <rPr>
        <sz val="12"/>
        <color rgb="FF0070C0"/>
        <rFont val="Aptos Narrow"/>
        <scheme val="minor"/>
      </rPr>
      <t xml:space="preserve">C17:E23
</t>
    </r>
    <r>
      <rPr>
        <sz val="12"/>
        <color theme="1"/>
        <rFont val="Aptos Narrow"/>
        <scheme val="minor"/>
      </rPr>
      <t>5. Automatic Calculations: All other values are auto-calculated and will dynamically update the table as well as the chart visuals.</t>
    </r>
  </si>
  <si>
    <t>&lt;For starting the program midway, fill the actuals with 0 before the start date&gt;</t>
  </si>
  <si>
    <t>Initial/start metric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</si>
</sst>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%"/>
    <numFmt numFmtId="165" formatCode="dd\ mmm\ yyyy"/>
    <numFmt numFmtId="166" formatCode="0.0"/>
    <numFmt numFmtId="167" formatCode="0.0000"/>
  </numFmts>
  <fonts count="2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sz val="12"/>
      <color theme="0"/>
      <name val="Aptos Narrow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4"/>
      <name val="Aptos Narrow"/>
      <scheme val="minor"/>
    </font>
    <font>
      <sz val="12"/>
      <color theme="4" tint="0.39997558519241921"/>
      <name val="Aptos Narrow"/>
      <scheme val="minor"/>
    </font>
    <font>
      <sz val="12"/>
      <color theme="0"/>
      <name val="Aptos Narrow"/>
      <scheme val="minor"/>
    </font>
    <font>
      <b/>
      <sz val="12"/>
      <color theme="4" tint="0.39997558519241921"/>
      <name val="Aptos Narrow"/>
      <scheme val="minor"/>
    </font>
    <font>
      <b/>
      <sz val="14"/>
      <color theme="0"/>
      <name val="Aptos Narrow"/>
      <scheme val="minor"/>
    </font>
    <font>
      <sz val="12"/>
      <color rgb="FF0070C0"/>
      <name val="Aptos Narrow"/>
      <scheme val="minor"/>
    </font>
    <font>
      <i/>
      <sz val="12"/>
      <color theme="1"/>
      <name val="Aptos Narrow"/>
      <scheme val="minor"/>
    </font>
    <font>
      <b/>
      <sz val="11"/>
      <color theme="0"/>
      <name val="Aptos Narrow"/>
      <scheme val="minor"/>
    </font>
    <font>
      <b/>
      <sz val="11"/>
      <color theme="4" tint="0.39997558519241921"/>
      <name val="Aptos Narrow"/>
      <scheme val="minor"/>
    </font>
    <font>
      <sz val="12"/>
      <color theme="1"/>
      <name val="Aptos Narrow (Body)"/>
    </font>
    <font>
      <sz val="13"/>
      <color theme="0"/>
      <name val="Aptos Narrow"/>
      <scheme val="minor"/>
    </font>
    <font>
      <b/>
      <sz val="18"/>
      <color theme="1"/>
      <name val="Aptos Narrow"/>
      <scheme val="minor"/>
    </font>
    <font>
      <b/>
      <i/>
      <sz val="12"/>
      <color rgb="FF00B0F0"/>
      <name val="Aptos Narrow"/>
      <scheme val="minor"/>
    </font>
    <font>
      <i/>
      <sz val="12"/>
      <color theme="0"/>
      <name val="Aptos Narrow"/>
      <scheme val="minor"/>
    </font>
    <font>
      <u/>
      <sz val="12"/>
      <color theme="10"/>
      <name val="Aptos Narrow"/>
      <scheme val="minor"/>
    </font>
    <font>
      <sz val="12"/>
      <color theme="3" tint="0.249977111117893"/>
      <name val="Aptos Narrow (Body)"/>
    </font>
    <font>
      <sz val="12"/>
      <color rgb="FF000000"/>
      <name val="Aptos Narrow"/>
      <family val="2"/>
    </font>
    <font>
      <sz val="12"/>
      <color rgb="FF000000"/>
      <name val="Aptos Narrow"/>
    </font>
    <font>
      <sz val="12"/>
      <color rgb="FF0070C0"/>
      <name val="Aptos Narrow (Body)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382D"/>
        <bgColor indexed="64"/>
      </patternFill>
    </fill>
    <fill>
      <patternFill patternType="solid">
        <fgColor theme="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47">
    <xf numFmtId="0" fontId="0" fillId="0" borderId="0" xfId="0"/>
    <xf numFmtId="0" fontId="3" fillId="2" borderId="23" xfId="0" applyFont="1" applyFill="1" applyBorder="1" applyAlignment="1">
      <alignment horizontal="center"/>
    </xf>
    <xf numFmtId="0" fontId="3" fillId="2" borderId="25" xfId="0" applyFont="1" applyFill="1" applyBorder="1" applyAlignment="1">
      <alignment horizontal="center"/>
    </xf>
    <xf numFmtId="10" fontId="5" fillId="7" borderId="10" xfId="1" applyNumberFormat="1" applyFont="1" applyFill="1" applyBorder="1"/>
    <xf numFmtId="10" fontId="5" fillId="0" borderId="10" xfId="1" applyNumberFormat="1" applyFont="1" applyBorder="1"/>
    <xf numFmtId="9" fontId="7" fillId="0" borderId="0" xfId="1" applyFont="1" applyFill="1" applyBorder="1"/>
    <xf numFmtId="0" fontId="3" fillId="2" borderId="27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2" fontId="5" fillId="7" borderId="10" xfId="1" applyNumberFormat="1" applyFont="1" applyFill="1" applyBorder="1"/>
    <xf numFmtId="0" fontId="9" fillId="2" borderId="27" xfId="0" applyFont="1" applyFill="1" applyBorder="1" applyAlignment="1">
      <alignment horizontal="center" vertical="center"/>
    </xf>
    <xf numFmtId="2" fontId="11" fillId="2" borderId="10" xfId="1" applyNumberFormat="1" applyFont="1" applyFill="1" applyBorder="1" applyAlignment="1">
      <alignment horizontal="center" vertical="center"/>
    </xf>
    <xf numFmtId="0" fontId="12" fillId="0" borderId="0" xfId="0" applyFont="1"/>
    <xf numFmtId="0" fontId="3" fillId="2" borderId="18" xfId="0" applyFont="1" applyFill="1" applyBorder="1" applyAlignment="1">
      <alignment horizontal="center" vertical="center" wrapText="1"/>
    </xf>
    <xf numFmtId="0" fontId="13" fillId="2" borderId="22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10" fontId="11" fillId="0" borderId="10" xfId="1" applyNumberFormat="1" applyFont="1" applyBorder="1"/>
    <xf numFmtId="10" fontId="11" fillId="0" borderId="26" xfId="1" applyNumberFormat="1" applyFont="1" applyBorder="1"/>
    <xf numFmtId="0" fontId="5" fillId="0" borderId="0" xfId="0" applyFont="1"/>
    <xf numFmtId="0" fontId="8" fillId="0" borderId="4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0" fontId="8" fillId="2" borderId="10" xfId="0" applyFont="1" applyFill="1" applyBorder="1" applyAlignment="1">
      <alignment horizontal="left" vertical="center"/>
    </xf>
    <xf numFmtId="0" fontId="11" fillId="0" borderId="10" xfId="2" applyFont="1" applyFill="1" applyBorder="1" applyAlignment="1">
      <alignment horizontal="center" vertical="center"/>
    </xf>
    <xf numFmtId="0" fontId="20" fillId="0" borderId="0" xfId="2" applyFont="1" applyFill="1" applyBorder="1" applyAlignment="1">
      <alignment vertical="center"/>
    </xf>
    <xf numFmtId="0" fontId="5" fillId="3" borderId="10" xfId="0" applyFont="1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8" fillId="2" borderId="0" xfId="0" applyFont="1" applyFill="1"/>
    <xf numFmtId="0" fontId="5" fillId="2" borderId="0" xfId="0" applyFont="1" applyFill="1"/>
    <xf numFmtId="0" fontId="5" fillId="4" borderId="10" xfId="0" quotePrefix="1" applyFont="1" applyFill="1" applyBorder="1" applyAlignment="1">
      <alignment horizontal="center" vertical="center" wrapText="1"/>
    </xf>
    <xf numFmtId="0" fontId="5" fillId="5" borderId="10" xfId="0" quotePrefix="1" applyFont="1" applyFill="1" applyBorder="1" applyAlignment="1">
      <alignment horizontal="center" vertical="center" wrapText="1"/>
    </xf>
    <xf numFmtId="0" fontId="5" fillId="6" borderId="10" xfId="0" quotePrefix="1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horizontal="center"/>
    </xf>
    <xf numFmtId="0" fontId="11" fillId="0" borderId="10" xfId="0" applyFont="1" applyBorder="1" applyAlignment="1">
      <alignment horizontal="center" wrapText="1"/>
    </xf>
    <xf numFmtId="0" fontId="5" fillId="0" borderId="0" xfId="0" applyFont="1" applyAlignment="1">
      <alignment horizontal="left" vertical="center" wrapText="1"/>
    </xf>
    <xf numFmtId="0" fontId="3" fillId="2" borderId="28" xfId="0" applyFont="1" applyFill="1" applyBorder="1" applyAlignment="1">
      <alignment horizontal="center" vertical="center" wrapText="1"/>
    </xf>
    <xf numFmtId="10" fontId="5" fillId="0" borderId="0" xfId="0" applyNumberFormat="1" applyFont="1"/>
    <xf numFmtId="10" fontId="5" fillId="0" borderId="0" xfId="1" applyNumberFormat="1" applyFont="1"/>
    <xf numFmtId="164" fontId="5" fillId="0" borderId="0" xfId="1" applyNumberFormat="1" applyFont="1"/>
    <xf numFmtId="2" fontId="11" fillId="0" borderId="10" xfId="1" applyNumberFormat="1" applyFont="1" applyBorder="1" applyAlignment="1">
      <alignment vertical="center" wrapText="1"/>
    </xf>
    <xf numFmtId="2" fontId="9" fillId="2" borderId="18" xfId="0" applyNumberFormat="1" applyFont="1" applyFill="1" applyBorder="1" applyAlignment="1">
      <alignment horizontal="center" vertical="center" wrapText="1"/>
    </xf>
    <xf numFmtId="0" fontId="7" fillId="0" borderId="0" xfId="0" applyFont="1"/>
    <xf numFmtId="2" fontId="9" fillId="2" borderId="28" xfId="0" applyNumberFormat="1" applyFont="1" applyFill="1" applyBorder="1" applyAlignment="1">
      <alignment horizontal="center" vertical="center" wrapText="1"/>
    </xf>
    <xf numFmtId="2" fontId="11" fillId="0" borderId="10" xfId="1" applyNumberFormat="1" applyFont="1" applyBorder="1"/>
    <xf numFmtId="2" fontId="5" fillId="0" borderId="10" xfId="1" applyNumberFormat="1" applyFont="1" applyBorder="1"/>
    <xf numFmtId="2" fontId="5" fillId="0" borderId="10" xfId="0" applyNumberFormat="1" applyFont="1" applyBorder="1"/>
    <xf numFmtId="2" fontId="5" fillId="0" borderId="24" xfId="1" applyNumberFormat="1" applyFont="1" applyBorder="1"/>
    <xf numFmtId="2" fontId="11" fillId="0" borderId="26" xfId="1" applyNumberFormat="1" applyFont="1" applyBorder="1"/>
    <xf numFmtId="9" fontId="5" fillId="0" borderId="0" xfId="1" applyFont="1" applyFill="1" applyBorder="1"/>
    <xf numFmtId="2" fontId="11" fillId="0" borderId="10" xfId="1" applyNumberFormat="1" applyFont="1" applyBorder="1" applyAlignment="1">
      <alignment horizontal="left" vertical="center" wrapText="1"/>
    </xf>
    <xf numFmtId="2" fontId="14" fillId="2" borderId="18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2" fillId="0" borderId="0" xfId="0" quotePrefix="1" applyFont="1" applyAlignment="1">
      <alignment vertical="center" wrapText="1"/>
    </xf>
    <xf numFmtId="2" fontId="5" fillId="0" borderId="10" xfId="1" applyNumberFormat="1" applyFont="1" applyBorder="1" applyAlignment="1">
      <alignment horizontal="left" vertical="center" wrapText="1"/>
    </xf>
    <xf numFmtId="0" fontId="5" fillId="4" borderId="11" xfId="0" quotePrefix="1" applyFont="1" applyFill="1" applyBorder="1" applyAlignment="1">
      <alignment horizontal="center" vertical="center" wrapText="1"/>
    </xf>
    <xf numFmtId="0" fontId="5" fillId="5" borderId="11" xfId="0" quotePrefix="1" applyFont="1" applyFill="1" applyBorder="1" applyAlignment="1">
      <alignment horizontal="center" vertical="center" wrapText="1"/>
    </xf>
    <xf numFmtId="0" fontId="5" fillId="6" borderId="11" xfId="0" quotePrefix="1" applyFont="1" applyFill="1" applyBorder="1" applyAlignment="1">
      <alignment horizontal="center" vertical="center" wrapText="1"/>
    </xf>
    <xf numFmtId="165" fontId="5" fillId="0" borderId="0" xfId="0" applyNumberFormat="1" applyFont="1"/>
    <xf numFmtId="165" fontId="5" fillId="0" borderId="10" xfId="0" applyNumberFormat="1" applyFont="1" applyBorder="1"/>
    <xf numFmtId="165" fontId="5" fillId="0" borderId="26" xfId="0" applyNumberFormat="1" applyFont="1" applyBorder="1"/>
    <xf numFmtId="165" fontId="9" fillId="2" borderId="18" xfId="0" applyNumberFormat="1" applyFont="1" applyFill="1" applyBorder="1" applyAlignment="1">
      <alignment horizontal="center" vertical="center" wrapText="1"/>
    </xf>
    <xf numFmtId="166" fontId="5" fillId="0" borderId="10" xfId="1" applyNumberFormat="1" applyFont="1" applyBorder="1"/>
    <xf numFmtId="167" fontId="5" fillId="0" borderId="24" xfId="1" applyNumberFormat="1" applyFont="1" applyBorder="1"/>
    <xf numFmtId="0" fontId="9" fillId="0" borderId="0" xfId="0" applyFont="1" applyAlignment="1">
      <alignment horizontal="center" vertical="center" wrapText="1"/>
    </xf>
    <xf numFmtId="2" fontId="5" fillId="0" borderId="0" xfId="1" applyNumberFormat="1" applyFont="1" applyFill="1" applyBorder="1"/>
    <xf numFmtId="0" fontId="3" fillId="2" borderId="10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10" fontId="11" fillId="2" borderId="10" xfId="1" applyNumberFormat="1" applyFont="1" applyFill="1" applyBorder="1" applyAlignment="1">
      <alignment horizontal="center" vertical="center"/>
    </xf>
    <xf numFmtId="10" fontId="11" fillId="0" borderId="10" xfId="1" applyNumberFormat="1" applyFont="1" applyBorder="1" applyAlignment="1">
      <alignment vertical="center" wrapText="1"/>
    </xf>
    <xf numFmtId="0" fontId="5" fillId="2" borderId="20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right" vertical="center"/>
    </xf>
    <xf numFmtId="9" fontId="5" fillId="0" borderId="10" xfId="1" applyFont="1" applyBorder="1" applyAlignment="1">
      <alignment horizontal="right" vertical="center" wrapText="1"/>
    </xf>
    <xf numFmtId="2" fontId="11" fillId="0" borderId="10" xfId="1" applyNumberFormat="1" applyFont="1" applyBorder="1" applyAlignment="1">
      <alignment horizontal="right" vertical="center" wrapText="1"/>
    </xf>
    <xf numFmtId="9" fontId="5" fillId="0" borderId="10" xfId="1" applyFont="1" applyBorder="1" applyAlignment="1">
      <alignment horizontal="left" vertical="center" wrapText="1"/>
    </xf>
    <xf numFmtId="9" fontId="5" fillId="0" borderId="10" xfId="1" applyFont="1" applyBorder="1"/>
    <xf numFmtId="9" fontId="9" fillId="2" borderId="27" xfId="1" applyFont="1" applyFill="1" applyBorder="1" applyAlignment="1">
      <alignment horizontal="center" vertical="center"/>
    </xf>
    <xf numFmtId="9" fontId="9" fillId="2" borderId="18" xfId="1" applyFont="1" applyFill="1" applyBorder="1" applyAlignment="1">
      <alignment horizontal="center" vertical="center" wrapText="1"/>
    </xf>
    <xf numFmtId="9" fontId="14" fillId="2" borderId="18" xfId="1" applyFont="1" applyFill="1" applyBorder="1" applyAlignment="1">
      <alignment horizontal="center" vertical="center" wrapText="1"/>
    </xf>
    <xf numFmtId="9" fontId="9" fillId="2" borderId="10" xfId="1" applyFont="1" applyFill="1" applyBorder="1" applyAlignment="1">
      <alignment horizontal="center" vertical="center" wrapText="1"/>
    </xf>
    <xf numFmtId="9" fontId="9" fillId="0" borderId="0" xfId="1" applyFont="1" applyAlignment="1">
      <alignment horizontal="center" vertical="center" wrapText="1"/>
    </xf>
    <xf numFmtId="9" fontId="7" fillId="0" borderId="0" xfId="1" applyFont="1"/>
    <xf numFmtId="9" fontId="9" fillId="2" borderId="28" xfId="1" applyFont="1" applyFill="1" applyBorder="1" applyAlignment="1">
      <alignment horizontal="center" vertical="center" wrapText="1"/>
    </xf>
    <xf numFmtId="9" fontId="5" fillId="0" borderId="24" xfId="1" applyFont="1" applyBorder="1"/>
    <xf numFmtId="3" fontId="11" fillId="0" borderId="10" xfId="1" applyNumberFormat="1" applyFont="1" applyBorder="1" applyAlignment="1">
      <alignment vertical="center" wrapText="1"/>
    </xf>
    <xf numFmtId="3" fontId="11" fillId="2" borderId="10" xfId="1" applyNumberFormat="1" applyFont="1" applyFill="1" applyBorder="1" applyAlignment="1">
      <alignment horizontal="center" vertical="center"/>
    </xf>
    <xf numFmtId="3" fontId="5" fillId="7" borderId="10" xfId="1" applyNumberFormat="1" applyFont="1" applyFill="1" applyBorder="1"/>
    <xf numFmtId="3" fontId="11" fillId="0" borderId="10" xfId="1" applyNumberFormat="1" applyFont="1" applyBorder="1"/>
    <xf numFmtId="3" fontId="5" fillId="0" borderId="10" xfId="1" applyNumberFormat="1" applyFont="1" applyBorder="1"/>
    <xf numFmtId="3" fontId="11" fillId="0" borderId="26" xfId="1" applyNumberFormat="1" applyFont="1" applyBorder="1"/>
    <xf numFmtId="3" fontId="11" fillId="0" borderId="10" xfId="1" applyNumberFormat="1" applyFont="1" applyBorder="1" applyAlignment="1">
      <alignment horizontal="right" vertical="center" wrapText="1"/>
    </xf>
    <xf numFmtId="3" fontId="8" fillId="2" borderId="0" xfId="0" applyNumberFormat="1" applyFont="1" applyFill="1" applyAlignment="1">
      <alignment horizontal="left" vertical="center"/>
    </xf>
    <xf numFmtId="3" fontId="11" fillId="0" borderId="10" xfId="1" applyNumberFormat="1" applyFont="1" applyBorder="1" applyAlignment="1">
      <alignment horizontal="left" vertical="center" wrapText="1"/>
    </xf>
    <xf numFmtId="3" fontId="5" fillId="0" borderId="10" xfId="1" applyNumberFormat="1" applyFont="1" applyBorder="1" applyAlignment="1">
      <alignment horizontal="left" vertical="center" wrapText="1"/>
    </xf>
    <xf numFmtId="10" fontId="11" fillId="0" borderId="10" xfId="1" applyNumberFormat="1" applyFont="1" applyBorder="1" applyAlignment="1">
      <alignment horizontal="left" vertical="center" wrapText="1"/>
    </xf>
    <xf numFmtId="10" fontId="5" fillId="0" borderId="10" xfId="1" applyNumberFormat="1" applyFont="1" applyBorder="1" applyAlignment="1">
      <alignment horizontal="left" vertical="center" wrapText="1"/>
    </xf>
    <xf numFmtId="10" fontId="11" fillId="0" borderId="10" xfId="1" applyNumberFormat="1" applyFont="1" applyBorder="1" applyAlignment="1">
      <alignment horizontal="right" vertical="center" wrapText="1"/>
    </xf>
    <xf numFmtId="0" fontId="10" fillId="2" borderId="29" xfId="0" applyFont="1" applyFill="1" applyBorder="1" applyAlignment="1">
      <alignment horizontal="center"/>
    </xf>
    <xf numFmtId="0" fontId="10" fillId="2" borderId="30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 wrapText="1"/>
    </xf>
    <xf numFmtId="0" fontId="11" fillId="0" borderId="11" xfId="0" applyFont="1" applyBorder="1" applyAlignment="1">
      <alignment horizontal="left" vertical="center"/>
    </xf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3" fillId="2" borderId="0" xfId="0" applyFont="1" applyFill="1" applyAlignment="1">
      <alignment horizontal="left" vertical="center" wrapText="1"/>
    </xf>
    <xf numFmtId="0" fontId="8" fillId="2" borderId="14" xfId="0" applyFont="1" applyFill="1" applyBorder="1" applyAlignment="1">
      <alignment horizontal="left" vertical="center"/>
    </xf>
    <xf numFmtId="0" fontId="8" fillId="2" borderId="18" xfId="0" applyFont="1" applyFill="1" applyBorder="1" applyAlignment="1">
      <alignment horizontal="left" vertical="center"/>
    </xf>
    <xf numFmtId="0" fontId="11" fillId="0" borderId="15" xfId="0" applyFont="1" applyBorder="1" applyAlignment="1">
      <alignment horizontal="left" vertical="center" wrapText="1"/>
    </xf>
    <xf numFmtId="0" fontId="11" fillId="0" borderId="16" xfId="0" applyFont="1" applyBorder="1" applyAlignment="1">
      <alignment horizontal="left" vertical="center" wrapText="1"/>
    </xf>
    <xf numFmtId="0" fontId="11" fillId="0" borderId="17" xfId="0" applyFont="1" applyBorder="1" applyAlignment="1">
      <alignment horizontal="left" vertical="center" wrapText="1"/>
    </xf>
    <xf numFmtId="0" fontId="11" fillId="0" borderId="19" xfId="0" applyFont="1" applyBorder="1" applyAlignment="1">
      <alignment horizontal="left" vertical="center" wrapText="1"/>
    </xf>
    <xf numFmtId="0" fontId="11" fillId="0" borderId="20" xfId="0" applyFont="1" applyBorder="1" applyAlignment="1">
      <alignment horizontal="left" vertical="center" wrapText="1"/>
    </xf>
    <xf numFmtId="0" fontId="11" fillId="0" borderId="21" xfId="0" applyFont="1" applyBorder="1" applyAlignment="1">
      <alignment horizontal="left" vertical="center" wrapText="1"/>
    </xf>
    <xf numFmtId="0" fontId="8" fillId="2" borderId="4" xfId="0" applyFont="1" applyFill="1" applyBorder="1" applyAlignment="1">
      <alignment horizontal="left" vertical="top" wrapText="1"/>
    </xf>
    <xf numFmtId="0" fontId="8" fillId="2" borderId="6" xfId="0" applyFont="1" applyFill="1" applyBorder="1" applyAlignment="1">
      <alignment horizontal="left" vertical="top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top" wrapText="1"/>
    </xf>
    <xf numFmtId="0" fontId="8" fillId="2" borderId="10" xfId="0" applyFont="1" applyFill="1" applyBorder="1" applyAlignment="1">
      <alignment horizontal="left" vertical="center"/>
    </xf>
    <xf numFmtId="0" fontId="16" fillId="2" borderId="10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8" fillId="2" borderId="2" xfId="0" applyFont="1" applyFill="1" applyBorder="1" applyAlignment="1">
      <alignment horizontal="left" vertical="center" indent="1"/>
    </xf>
    <xf numFmtId="0" fontId="19" fillId="2" borderId="2" xfId="0" applyFont="1" applyFill="1" applyBorder="1" applyAlignment="1">
      <alignment horizontal="left" vertical="center" indent="1"/>
    </xf>
    <xf numFmtId="0" fontId="19" fillId="2" borderId="3" xfId="0" applyFont="1" applyFill="1" applyBorder="1" applyAlignment="1">
      <alignment horizontal="left" vertical="center" indent="1"/>
    </xf>
    <xf numFmtId="0" fontId="19" fillId="2" borderId="0" xfId="0" applyFont="1" applyFill="1" applyAlignment="1">
      <alignment horizontal="left" vertical="center" indent="1"/>
    </xf>
    <xf numFmtId="0" fontId="19" fillId="2" borderId="6" xfId="0" applyFont="1" applyFill="1" applyBorder="1" applyAlignment="1">
      <alignment horizontal="left" vertical="center" indent="1"/>
    </xf>
    <xf numFmtId="0" fontId="19" fillId="2" borderId="8" xfId="0" applyFont="1" applyFill="1" applyBorder="1" applyAlignment="1">
      <alignment horizontal="left" vertical="center" indent="1"/>
    </xf>
    <xf numFmtId="0" fontId="19" fillId="2" borderId="9" xfId="0" applyFont="1" applyFill="1" applyBorder="1" applyAlignment="1">
      <alignment horizontal="left" vertical="center" indent="1"/>
    </xf>
    <xf numFmtId="0" fontId="11" fillId="0" borderId="11" xfId="2" applyFont="1" applyFill="1" applyBorder="1" applyAlignment="1">
      <alignment horizontal="center" vertical="center"/>
    </xf>
    <xf numFmtId="0" fontId="11" fillId="0" borderId="12" xfId="2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18" fillId="2" borderId="3" xfId="0" applyFont="1" applyFill="1" applyBorder="1" applyAlignment="1">
      <alignment horizontal="left" vertical="center" indent="1"/>
    </xf>
    <xf numFmtId="0" fontId="18" fillId="2" borderId="0" xfId="0" applyFont="1" applyFill="1" applyAlignment="1">
      <alignment horizontal="left" vertical="center" indent="1"/>
    </xf>
    <xf numFmtId="0" fontId="18" fillId="2" borderId="6" xfId="0" applyFont="1" applyFill="1" applyBorder="1" applyAlignment="1">
      <alignment horizontal="left" vertical="center" indent="1"/>
    </xf>
    <xf numFmtId="0" fontId="18" fillId="2" borderId="8" xfId="0" applyFont="1" applyFill="1" applyBorder="1" applyAlignment="1">
      <alignment horizontal="left" vertical="center" indent="1"/>
    </xf>
    <xf numFmtId="0" fontId="18" fillId="2" borderId="9" xfId="0" applyFont="1" applyFill="1" applyBorder="1" applyAlignment="1">
      <alignment horizontal="left" vertical="center" indent="1"/>
    </xf>
    <xf numFmtId="0" fontId="11" fillId="0" borderId="13" xfId="2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21">
    <dxf>
      <fill>
        <patternFill patternType="solid"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382D"/>
        </patternFill>
      </fill>
    </dxf>
    <dxf>
      <fill>
        <patternFill>
          <bgColor rgb="FFF0E07D"/>
        </patternFill>
      </fill>
    </dxf>
    <dxf>
      <fill>
        <patternFill>
          <bgColor theme="6" tint="0.79998168889431442"/>
        </patternFill>
      </fill>
    </dxf>
    <dxf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rgb="FFF0E07D"/>
        </patternFill>
      </fill>
    </dxf>
    <dxf>
      <fill>
        <patternFill>
          <bgColor theme="6" tint="0.79998168889431442"/>
        </patternFill>
      </fill>
    </dxf>
    <dxf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 patternType="solid"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382D"/>
        </patternFill>
      </fill>
    </dxf>
    <dxf>
      <fill>
        <patternFill>
          <bgColor rgb="FFF0E07D"/>
        </patternFill>
      </fill>
    </dxf>
    <dxf>
      <fill>
        <patternFill>
          <bgColor theme="6" tint="0.79998168889431442"/>
        </patternFill>
      </fill>
    </dxf>
    <dxf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 patternType="solid"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382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Goals vs Actuals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'Percentage (eg Traceability)'!$D$28</c:f>
              <c:strCache>
                <c:ptCount val="1"/>
                <c:pt idx="0">
                  <c:v>Current Actuals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4.3960645788046093E-2"/>
                  <c:y val="-6.05538393564772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0586105072812267E-2"/>
                      <c:h val="5.33530922842249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9B0-A44E-B7EF-2D087D90F0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'Percentage (eg Traceability)'!$C$30:$C$41</c:f>
              <c:numCache>
                <c:formatCode>dd\ mmm\ yyyy</c:formatCode>
                <c:ptCount val="12"/>
                <c:pt idx="0">
                  <c:v>45688</c:v>
                </c:pt>
                <c:pt idx="1">
                  <c:v>45716</c:v>
                </c:pt>
                <c:pt idx="2">
                  <c:v>45747</c:v>
                </c:pt>
                <c:pt idx="3">
                  <c:v>45777</c:v>
                </c:pt>
                <c:pt idx="4">
                  <c:v>45808</c:v>
                </c:pt>
                <c:pt idx="5">
                  <c:v>45838</c:v>
                </c:pt>
                <c:pt idx="6">
                  <c:v>45869</c:v>
                </c:pt>
                <c:pt idx="7">
                  <c:v>45900</c:v>
                </c:pt>
              </c:numCache>
            </c:numRef>
          </c:cat>
          <c:val>
            <c:numRef>
              <c:f>'Percentage (eg Traceability)'!$D$30:$D$41</c:f>
              <c:numCache>
                <c:formatCode>0.00%</c:formatCode>
                <c:ptCount val="12"/>
                <c:pt idx="0">
                  <c:v>0.83</c:v>
                </c:pt>
                <c:pt idx="1">
                  <c:v>0.69899999999999995</c:v>
                </c:pt>
                <c:pt idx="2">
                  <c:v>0.87</c:v>
                </c:pt>
                <c:pt idx="3">
                  <c:v>0.89</c:v>
                </c:pt>
                <c:pt idx="4">
                  <c:v>0.91500000000000004</c:v>
                </c:pt>
                <c:pt idx="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B0-A44E-B7EF-2D087D90F09A}"/>
            </c:ext>
          </c:extLst>
        </c:ser>
        <c:ser>
          <c:idx val="1"/>
          <c:order val="1"/>
          <c:tx>
            <c:strRef>
              <c:f>'Percentage (eg Traceability)'!$E$28</c:f>
              <c:strCache>
                <c:ptCount val="1"/>
                <c:pt idx="0">
                  <c:v>Monthly targets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1.9102038166323606E-2"/>
                  <c:y val="6.23340513054280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B0-A44E-B7EF-2D087D90F09A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B0-A44E-B7EF-2D087D90F09A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9B0-A44E-B7EF-2D087D90F09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9B0-A44E-B7EF-2D087D90F0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'Percentage (eg Traceability)'!$C$30:$C$41</c:f>
              <c:numCache>
                <c:formatCode>dd\ mmm\ yyyy</c:formatCode>
                <c:ptCount val="12"/>
                <c:pt idx="0">
                  <c:v>45688</c:v>
                </c:pt>
                <c:pt idx="1">
                  <c:v>45716</c:v>
                </c:pt>
                <c:pt idx="2">
                  <c:v>45747</c:v>
                </c:pt>
                <c:pt idx="3">
                  <c:v>45777</c:v>
                </c:pt>
                <c:pt idx="4">
                  <c:v>45808</c:v>
                </c:pt>
                <c:pt idx="5">
                  <c:v>45838</c:v>
                </c:pt>
                <c:pt idx="6">
                  <c:v>45869</c:v>
                </c:pt>
                <c:pt idx="7">
                  <c:v>45900</c:v>
                </c:pt>
              </c:numCache>
            </c:numRef>
          </c:cat>
          <c:val>
            <c:numRef>
              <c:f>'Percentage (eg Traceability)'!$E$30:$E$41</c:f>
              <c:numCache>
                <c:formatCode>0.00%</c:formatCode>
                <c:ptCount val="12"/>
                <c:pt idx="0">
                  <c:v>0.82374999999999998</c:v>
                </c:pt>
                <c:pt idx="1">
                  <c:v>0.85285714285714287</c:v>
                </c:pt>
                <c:pt idx="2">
                  <c:v>0.74749999999999994</c:v>
                </c:pt>
                <c:pt idx="3">
                  <c:v>0.89400000000000002</c:v>
                </c:pt>
                <c:pt idx="4">
                  <c:v>0.91500000000000004</c:v>
                </c:pt>
                <c:pt idx="5">
                  <c:v>0.93666666666666665</c:v>
                </c:pt>
                <c:pt idx="6">
                  <c:v>0.97</c:v>
                </c:pt>
                <c:pt idx="7">
                  <c:v>0.99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B0-A44E-B7EF-2D087D90F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74399"/>
        <c:axId val="1536593296"/>
      </c:lineChart>
      <c:dateAx>
        <c:axId val="6893743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Monthly Targets</a:t>
                </a:r>
              </a:p>
            </c:rich>
          </c:tx>
          <c:overlay val="0"/>
          <c:spPr>
            <a:gradFill>
              <a:gsLst>
                <a:gs pos="0">
                  <a:schemeClr val="accent2">
                    <a:lumMod val="5000"/>
                    <a:lumOff val="95000"/>
                  </a:schemeClr>
                </a:gs>
                <a:gs pos="74000">
                  <a:schemeClr val="accent2">
                    <a:lumMod val="45000"/>
                    <a:lumOff val="55000"/>
                  </a:schemeClr>
                </a:gs>
                <a:gs pos="83000">
                  <a:schemeClr val="accent2">
                    <a:lumMod val="45000"/>
                    <a:lumOff val="55000"/>
                  </a:schemeClr>
                </a:gs>
                <a:gs pos="100000">
                  <a:schemeClr val="accent2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 mmm\ 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6593296"/>
        <c:crosses val="autoZero"/>
        <c:auto val="1"/>
        <c:lblOffset val="100"/>
        <c:baseTimeUnit val="months"/>
      </c:dateAx>
      <c:valAx>
        <c:axId val="153659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Actuals</a:t>
                </a:r>
              </a:p>
            </c:rich>
          </c:tx>
          <c:overlay val="0"/>
          <c:spPr>
            <a:gradFill flip="none" rotWithShape="1"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74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Goals vs Actuals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'Average (eg UPH)'!$D$28</c:f>
              <c:strCache>
                <c:ptCount val="1"/>
                <c:pt idx="0">
                  <c:v>Current Actuals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4.3960645788046093E-2"/>
                  <c:y val="-6.05538393564772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0586105072812267E-2"/>
                      <c:h val="5.33530922842249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C5B-9843-BA44-76C08817A7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'Average (eg UPH)'!$C$30:$C$41</c:f>
              <c:numCache>
                <c:formatCode>dd\ mmm\ yyyy</c:formatCode>
                <c:ptCount val="12"/>
                <c:pt idx="0">
                  <c:v>45688</c:v>
                </c:pt>
                <c:pt idx="1">
                  <c:v>45716</c:v>
                </c:pt>
                <c:pt idx="2">
                  <c:v>45747</c:v>
                </c:pt>
                <c:pt idx="3">
                  <c:v>45777</c:v>
                </c:pt>
                <c:pt idx="4">
                  <c:v>45808</c:v>
                </c:pt>
                <c:pt idx="5">
                  <c:v>45838</c:v>
                </c:pt>
                <c:pt idx="6">
                  <c:v>45869</c:v>
                </c:pt>
                <c:pt idx="7">
                  <c:v>45900</c:v>
                </c:pt>
                <c:pt idx="8">
                  <c:v>45930</c:v>
                </c:pt>
                <c:pt idx="9">
                  <c:v>45961</c:v>
                </c:pt>
                <c:pt idx="10">
                  <c:v>45991</c:v>
                </c:pt>
                <c:pt idx="11">
                  <c:v>46022</c:v>
                </c:pt>
              </c:numCache>
            </c:numRef>
          </c:cat>
          <c:val>
            <c:numRef>
              <c:f>'Average (eg UPH)'!$D$30:$D$41</c:f>
              <c:numCache>
                <c:formatCode>0.00</c:formatCode>
                <c:ptCount val="12"/>
                <c:pt idx="0">
                  <c:v>9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7.5</c:v>
                </c:pt>
                <c:pt idx="5">
                  <c:v>8.1999999999999993</c:v>
                </c:pt>
                <c:pt idx="6">
                  <c:v>8.9</c:v>
                </c:pt>
                <c:pt idx="7">
                  <c:v>11</c:v>
                </c:pt>
                <c:pt idx="8">
                  <c:v>11.5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B-9843-BA44-76C08817A70A}"/>
            </c:ext>
          </c:extLst>
        </c:ser>
        <c:ser>
          <c:idx val="1"/>
          <c:order val="1"/>
          <c:tx>
            <c:strRef>
              <c:f>'Average (eg UPH)'!$E$28</c:f>
              <c:strCache>
                <c:ptCount val="1"/>
                <c:pt idx="0">
                  <c:v>Monthly targets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1.9102038166323606E-2"/>
                  <c:y val="6.23340513054280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C5B-9843-BA44-76C08817A70A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5B-9843-BA44-76C08817A70A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C5B-9843-BA44-76C08817A70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5B-9843-BA44-76C08817A7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'Average (eg UPH)'!$C$30:$C$41</c:f>
              <c:numCache>
                <c:formatCode>dd\ mmm\ yyyy</c:formatCode>
                <c:ptCount val="12"/>
                <c:pt idx="0">
                  <c:v>45688</c:v>
                </c:pt>
                <c:pt idx="1">
                  <c:v>45716</c:v>
                </c:pt>
                <c:pt idx="2">
                  <c:v>45747</c:v>
                </c:pt>
                <c:pt idx="3">
                  <c:v>45777</c:v>
                </c:pt>
                <c:pt idx="4">
                  <c:v>45808</c:v>
                </c:pt>
                <c:pt idx="5">
                  <c:v>45838</c:v>
                </c:pt>
                <c:pt idx="6">
                  <c:v>45869</c:v>
                </c:pt>
                <c:pt idx="7">
                  <c:v>45900</c:v>
                </c:pt>
                <c:pt idx="8">
                  <c:v>45930</c:v>
                </c:pt>
                <c:pt idx="9">
                  <c:v>45961</c:v>
                </c:pt>
                <c:pt idx="10">
                  <c:v>45991</c:v>
                </c:pt>
                <c:pt idx="11">
                  <c:v>46022</c:v>
                </c:pt>
              </c:numCache>
            </c:numRef>
          </c:cat>
          <c:val>
            <c:numRef>
              <c:f>'Average (eg UPH)'!$E$30:$E$41</c:f>
              <c:numCache>
                <c:formatCode>0.00</c:formatCode>
                <c:ptCount val="12"/>
                <c:pt idx="0">
                  <c:v>7.416666666666667</c:v>
                </c:pt>
                <c:pt idx="1">
                  <c:v>9.2727272727272734</c:v>
                </c:pt>
                <c:pt idx="2">
                  <c:v>5.7</c:v>
                </c:pt>
                <c:pt idx="3">
                  <c:v>6.666666666666667</c:v>
                </c:pt>
                <c:pt idx="4">
                  <c:v>8.5</c:v>
                </c:pt>
                <c:pt idx="5">
                  <c:v>7.9489999999999998</c:v>
                </c:pt>
                <c:pt idx="6">
                  <c:v>8.8333333333333321</c:v>
                </c:pt>
                <c:pt idx="7">
                  <c:v>9.52</c:v>
                </c:pt>
                <c:pt idx="8">
                  <c:v>11.25</c:v>
                </c:pt>
                <c:pt idx="9">
                  <c:v>11.666666666666666</c:v>
                </c:pt>
                <c:pt idx="10">
                  <c:v>11.833333333333332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5B-9843-BA44-76C08817A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74399"/>
        <c:axId val="1536593296"/>
      </c:lineChart>
      <c:dateAx>
        <c:axId val="6893743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Monthly Targets</a:t>
                </a:r>
              </a:p>
            </c:rich>
          </c:tx>
          <c:overlay val="0"/>
          <c:spPr>
            <a:gradFill>
              <a:gsLst>
                <a:gs pos="0">
                  <a:schemeClr val="accent2">
                    <a:lumMod val="5000"/>
                    <a:lumOff val="95000"/>
                  </a:schemeClr>
                </a:gs>
                <a:gs pos="74000">
                  <a:schemeClr val="accent2">
                    <a:lumMod val="45000"/>
                    <a:lumOff val="55000"/>
                  </a:schemeClr>
                </a:gs>
                <a:gs pos="83000">
                  <a:schemeClr val="accent2">
                    <a:lumMod val="45000"/>
                    <a:lumOff val="55000"/>
                  </a:schemeClr>
                </a:gs>
                <a:gs pos="100000">
                  <a:schemeClr val="accent2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 mmm\ 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6593296"/>
        <c:crosses val="autoZero"/>
        <c:auto val="1"/>
        <c:lblOffset val="100"/>
        <c:baseTimeUnit val="months"/>
      </c:dateAx>
      <c:valAx>
        <c:axId val="153659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Actuals</a:t>
                </a:r>
              </a:p>
            </c:rich>
          </c:tx>
          <c:overlay val="0"/>
          <c:spPr>
            <a:gradFill flip="none" rotWithShape="1"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74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Goals vs Actuals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'Numbers (eg Testing)'!$D$28</c:f>
              <c:strCache>
                <c:ptCount val="1"/>
                <c:pt idx="0">
                  <c:v>Current Actuals</c:v>
                </c:pt>
              </c:strCache>
            </c:strRef>
          </c:tx>
          <c:spPr>
            <a:ln w="28575" cap="rnd" cmpd="sng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'Numbers (eg Testing)'!$C$30:$C$41</c:f>
              <c:numCache>
                <c:formatCode>dd\ mmm\ yyyy</c:formatCode>
                <c:ptCount val="12"/>
                <c:pt idx="0">
                  <c:v>45688</c:v>
                </c:pt>
                <c:pt idx="1">
                  <c:v>45716</c:v>
                </c:pt>
                <c:pt idx="2">
                  <c:v>45747</c:v>
                </c:pt>
                <c:pt idx="3">
                  <c:v>45777</c:v>
                </c:pt>
                <c:pt idx="4">
                  <c:v>45808</c:v>
                </c:pt>
                <c:pt idx="5">
                  <c:v>45838</c:v>
                </c:pt>
                <c:pt idx="6">
                  <c:v>45869</c:v>
                </c:pt>
                <c:pt idx="7">
                  <c:v>45900</c:v>
                </c:pt>
                <c:pt idx="8">
                  <c:v>45930</c:v>
                </c:pt>
                <c:pt idx="9">
                  <c:v>45961</c:v>
                </c:pt>
                <c:pt idx="10">
                  <c:v>45991</c:v>
                </c:pt>
                <c:pt idx="11">
                  <c:v>46022</c:v>
                </c:pt>
              </c:numCache>
            </c:numRef>
          </c:cat>
          <c:val>
            <c:numRef>
              <c:f>'Numbers (eg Testing)'!$D$30:$D$41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30000</c:v>
                </c:pt>
                <c:pt idx="6">
                  <c:v>60000</c:v>
                </c:pt>
                <c:pt idx="7">
                  <c:v>20000</c:v>
                </c:pt>
                <c:pt idx="8">
                  <c:v>25000</c:v>
                </c:pt>
                <c:pt idx="9">
                  <c:v>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85-3B4F-A373-1A031F9D722E}"/>
            </c:ext>
          </c:extLst>
        </c:ser>
        <c:ser>
          <c:idx val="1"/>
          <c:order val="1"/>
          <c:tx>
            <c:strRef>
              <c:f>'Numbers (eg Testing)'!$E$28</c:f>
              <c:strCache>
                <c:ptCount val="1"/>
                <c:pt idx="0">
                  <c:v>Monthly targets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9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3.3719436357508931E-2"/>
                      <c:h val="5.192834210766147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85-3B4F-A373-1A031F9D722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285-3B4F-A373-1A031F9D722E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85-3B4F-A373-1A031F9D722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'Numbers (eg Testing)'!$C$30:$C$41</c:f>
              <c:numCache>
                <c:formatCode>dd\ mmm\ yyyy</c:formatCode>
                <c:ptCount val="12"/>
                <c:pt idx="0">
                  <c:v>45688</c:v>
                </c:pt>
                <c:pt idx="1">
                  <c:v>45716</c:v>
                </c:pt>
                <c:pt idx="2">
                  <c:v>45747</c:v>
                </c:pt>
                <c:pt idx="3">
                  <c:v>45777</c:v>
                </c:pt>
                <c:pt idx="4">
                  <c:v>45808</c:v>
                </c:pt>
                <c:pt idx="5">
                  <c:v>45838</c:v>
                </c:pt>
                <c:pt idx="6">
                  <c:v>45869</c:v>
                </c:pt>
                <c:pt idx="7">
                  <c:v>45900</c:v>
                </c:pt>
                <c:pt idx="8">
                  <c:v>45930</c:v>
                </c:pt>
                <c:pt idx="9">
                  <c:v>45961</c:v>
                </c:pt>
                <c:pt idx="10">
                  <c:v>45991</c:v>
                </c:pt>
                <c:pt idx="11">
                  <c:v>46022</c:v>
                </c:pt>
              </c:numCache>
            </c:numRef>
          </c:cat>
          <c:val>
            <c:numRef>
              <c:f>'Numbers (eg Testing)'!$E$30:$E$41</c:f>
              <c:numCache>
                <c:formatCode>#,##0</c:formatCode>
                <c:ptCount val="12"/>
                <c:pt idx="0">
                  <c:v>16666.666666666668</c:v>
                </c:pt>
                <c:pt idx="1">
                  <c:v>18181.81818181818</c:v>
                </c:pt>
                <c:pt idx="2">
                  <c:v>20000</c:v>
                </c:pt>
                <c:pt idx="3">
                  <c:v>22222.222222222223</c:v>
                </c:pt>
                <c:pt idx="4">
                  <c:v>25000</c:v>
                </c:pt>
                <c:pt idx="5">
                  <c:v>28571.428571428572</c:v>
                </c:pt>
                <c:pt idx="6">
                  <c:v>28333.333333333332</c:v>
                </c:pt>
                <c:pt idx="7">
                  <c:v>22000</c:v>
                </c:pt>
                <c:pt idx="8">
                  <c:v>22500</c:v>
                </c:pt>
                <c:pt idx="9">
                  <c:v>21666.666666666668</c:v>
                </c:pt>
                <c:pt idx="10">
                  <c:v>22500</c:v>
                </c:pt>
                <c:pt idx="11">
                  <c:v>22500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85-3B4F-A373-1A031F9D7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74399"/>
        <c:axId val="1536593296"/>
      </c:lineChart>
      <c:dateAx>
        <c:axId val="6893743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Monthly Targets</a:t>
                </a:r>
              </a:p>
            </c:rich>
          </c:tx>
          <c:overlay val="0"/>
          <c:spPr>
            <a:gradFill flip="none" rotWithShape="1">
              <a:gsLst>
                <a:gs pos="0">
                  <a:schemeClr val="accent2">
                    <a:lumMod val="5000"/>
                    <a:lumOff val="95000"/>
                  </a:schemeClr>
                </a:gs>
                <a:gs pos="74000">
                  <a:schemeClr val="accent2">
                    <a:lumMod val="45000"/>
                    <a:lumOff val="55000"/>
                  </a:schemeClr>
                </a:gs>
                <a:gs pos="83000">
                  <a:schemeClr val="accent2">
                    <a:lumMod val="45000"/>
                    <a:lumOff val="55000"/>
                  </a:schemeClr>
                </a:gs>
                <a:gs pos="100000">
                  <a:schemeClr val="accent2">
                    <a:lumMod val="30000"/>
                    <a:lumOff val="7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 mmm\ yyyy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6593296"/>
        <c:crosses val="autoZero"/>
        <c:auto val="1"/>
        <c:lblOffset val="100"/>
        <c:baseTimeUnit val="months"/>
      </c:dateAx>
      <c:valAx>
        <c:axId val="153659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Actuals</a:t>
                </a:r>
              </a:p>
            </c:rich>
          </c:tx>
          <c:overlay val="0"/>
          <c:spPr>
            <a:gradFill flip="none" rotWithShape="1"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74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777874</xdr:colOff>
      <xdr:row>43</xdr:row>
      <xdr:rowOff>47625</xdr:rowOff>
    </xdr:from>
    <xdr:to>
      <xdr:col>10</xdr:col>
      <xdr:colOff>254000</xdr:colOff>
      <xdr:row>60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CF6953-E382-2C47-8C69-21F007714D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711200</xdr:colOff>
          <xdr:row>24</xdr:row>
          <xdr:rowOff>127000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Click to 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114300</xdr:rowOff>
        </xdr:from>
        <xdr:to>
          <xdr:col>7</xdr:col>
          <xdr:colOff>558800</xdr:colOff>
          <xdr:row>26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Click to Add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21</xdr:row>
      <xdr:rowOff>214923</xdr:rowOff>
    </xdr:from>
    <xdr:to>
      <xdr:col>9</xdr:col>
      <xdr:colOff>13258</xdr:colOff>
      <xdr:row>24</xdr:row>
      <xdr:rowOff>24423</xdr:rowOff>
    </xdr:to>
    <xdr:sp macro="" textlink="">
      <xdr:nvSpPr>
        <xdr:cNvPr id="3" name="Alternate Process 2">
          <a:extLst>
            <a:ext uri="{FF2B5EF4-FFF2-40B4-BE49-F238E27FC236}">
              <a16:creationId xmlns:a16="http://schemas.microsoft.com/office/drawing/2014/main" id="{EC52A32C-4E12-774A-A18B-4197C627FE71}"/>
            </a:ext>
          </a:extLst>
        </xdr:cNvPr>
        <xdr:cNvSpPr/>
      </xdr:nvSpPr>
      <xdr:spPr>
        <a:xfrm>
          <a:off x="5334000" y="4761523"/>
          <a:ext cx="2743758" cy="444500"/>
        </a:xfrm>
        <a:prstGeom prst="flowChartAlternateProcess">
          <a:avLst/>
        </a:prstGeom>
        <a:ln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 Adjust</a:t>
          </a:r>
          <a:r>
            <a:rPr lang="en-US" sz="1200" b="1" baseline="0"/>
            <a:t> Due Date </a:t>
          </a:r>
          <a:endParaRPr lang="en-US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777874</xdr:colOff>
      <xdr:row>43</xdr:row>
      <xdr:rowOff>47625</xdr:rowOff>
    </xdr:from>
    <xdr:to>
      <xdr:col>10</xdr:col>
      <xdr:colOff>254000</xdr:colOff>
      <xdr:row>60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8E9EF4-2CBB-6F45-82C1-4441A8DEB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711200</xdr:colOff>
          <xdr:row>24</xdr:row>
          <xdr:rowOff>127000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Click to 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114300</xdr:rowOff>
        </xdr:from>
        <xdr:to>
          <xdr:col>7</xdr:col>
          <xdr:colOff>558800</xdr:colOff>
          <xdr:row>26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Click to Add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21</xdr:row>
      <xdr:rowOff>214923</xdr:rowOff>
    </xdr:from>
    <xdr:to>
      <xdr:col>9</xdr:col>
      <xdr:colOff>13258</xdr:colOff>
      <xdr:row>24</xdr:row>
      <xdr:rowOff>24423</xdr:rowOff>
    </xdr:to>
    <xdr:sp macro="" textlink="">
      <xdr:nvSpPr>
        <xdr:cNvPr id="6" name="Alternate Process 5">
          <a:extLst>
            <a:ext uri="{FF2B5EF4-FFF2-40B4-BE49-F238E27FC236}">
              <a16:creationId xmlns:a16="http://schemas.microsoft.com/office/drawing/2014/main" id="{145B072A-BE81-034E-AD15-572947470DB5}"/>
            </a:ext>
          </a:extLst>
        </xdr:cNvPr>
        <xdr:cNvSpPr/>
      </xdr:nvSpPr>
      <xdr:spPr>
        <a:xfrm>
          <a:off x="5304692" y="4591538"/>
          <a:ext cx="2748643" cy="444500"/>
        </a:xfrm>
        <a:prstGeom prst="flowChartAlternateProcess">
          <a:avLst/>
        </a:prstGeom>
        <a:ln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 Adjust</a:t>
          </a:r>
          <a:r>
            <a:rPr lang="en-US" sz="1200" b="1" baseline="0"/>
            <a:t> Due Date </a:t>
          </a:r>
          <a:endParaRPr lang="en-US" sz="12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777874</xdr:colOff>
      <xdr:row>43</xdr:row>
      <xdr:rowOff>27215</xdr:rowOff>
    </xdr:from>
    <xdr:to>
      <xdr:col>10</xdr:col>
      <xdr:colOff>190500</xdr:colOff>
      <xdr:row>61</xdr:row>
      <xdr:rowOff>99787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A890CC-2E42-6E42-81EF-45943860A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24</xdr:row>
          <xdr:rowOff>101600</xdr:rowOff>
        </xdr:from>
        <xdr:to>
          <xdr:col>8</xdr:col>
          <xdr:colOff>812800</xdr:colOff>
          <xdr:row>26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Click to 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927100</xdr:colOff>
          <xdr:row>24</xdr:row>
          <xdr:rowOff>101600</xdr:rowOff>
        </xdr:from>
        <xdr:to>
          <xdr:col>7</xdr:col>
          <xdr:colOff>482600</xdr:colOff>
          <xdr:row>26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Click to Add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22</xdr:row>
      <xdr:rowOff>0</xdr:rowOff>
    </xdr:from>
    <xdr:to>
      <xdr:col>9</xdr:col>
      <xdr:colOff>21167</xdr:colOff>
      <xdr:row>23</xdr:row>
      <xdr:rowOff>169333</xdr:rowOff>
    </xdr:to>
    <xdr:sp macro="" textlink="">
      <xdr:nvSpPr>
        <xdr:cNvPr id="10" name="Alternate Process 9">
          <a:extLst>
            <a:ext uri="{FF2B5EF4-FFF2-40B4-BE49-F238E27FC236}">
              <a16:creationId xmlns:a16="http://schemas.microsoft.com/office/drawing/2014/main" id="{3A08BB2E-E926-D34E-BF7D-C58DD58FF942}"/>
            </a:ext>
          </a:extLst>
        </xdr:cNvPr>
        <xdr:cNvSpPr/>
      </xdr:nvSpPr>
      <xdr:spPr>
        <a:xfrm>
          <a:off x="5323417" y="4286250"/>
          <a:ext cx="2667000" cy="381000"/>
        </a:xfrm>
        <a:prstGeom prst="flowChartAlternateProcess">
          <a:avLst/>
        </a:prstGeom>
        <a:ln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 Adjust</a:t>
          </a:r>
          <a:r>
            <a:rPr lang="en-US" sz="1200" b="1" baseline="0"/>
            <a:t> Due Date </a:t>
          </a:r>
          <a:endParaRPr 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E58EA-8F72-2346-999F-3729C3820801}">
  <sheetPr codeName="Sheet5"/>
  <dimension ref="B2:X75"/>
  <sheetViews>
    <sheetView showGridLines="0" tabSelected="1" zoomScale="130" zoomScaleNormal="130" workbookViewId="0">
      <selection activeCell="J22" sqref="J22"/>
    </sheetView>
  </sheetViews>
  <sheetFormatPr baseColWidth="10" defaultRowHeight="16" x14ac:dyDescent="0.2"/>
  <cols>
    <col min="1" max="1" width="10.83203125" style="19"/>
    <col min="2" max="2" width="12.33203125" style="19" customWidth="1"/>
    <col min="3" max="3" width="11.33203125" style="19" bestFit="1" customWidth="1"/>
    <col min="4" max="4" width="10.5" style="19" customWidth="1"/>
    <col min="5" max="5" width="12.6640625" style="19" customWidth="1"/>
    <col min="6" max="6" width="12.33203125" style="19" customWidth="1"/>
    <col min="7" max="7" width="11.1640625" style="19" bestFit="1" customWidth="1"/>
    <col min="8" max="8" width="13.83203125" style="19" bestFit="1" customWidth="1"/>
    <col min="9" max="9" width="10.83203125" style="19"/>
    <col min="10" max="10" width="15" style="19" customWidth="1"/>
    <col min="11" max="11" width="13" style="19" customWidth="1"/>
    <col min="12" max="12" width="13.83203125" style="19" customWidth="1"/>
    <col min="13" max="13" width="18.33203125" style="19" customWidth="1"/>
    <col min="14" max="14" width="13.1640625" style="19" customWidth="1"/>
    <col min="15" max="15" width="10.83203125" style="19"/>
    <col min="16" max="16" width="8.5" style="19" hidden="1" customWidth="1"/>
    <col min="17" max="17" width="9.1640625" style="19" hidden="1" customWidth="1"/>
    <col min="18" max="19" width="10" style="19" hidden="1" customWidth="1"/>
    <col min="20" max="20" width="12.5" style="19" hidden="1" customWidth="1"/>
    <col min="21" max="21" width="10.83203125" style="19"/>
    <col min="22" max="22" width="14.5" style="19" bestFit="1" customWidth="1"/>
    <col min="23" max="16384" width="10.83203125" style="19"/>
  </cols>
  <sheetData>
    <row r="2" spans="2:16" ht="16" customHeight="1" x14ac:dyDescent="0.2">
      <c r="B2" s="123" t="s">
        <v>20</v>
      </c>
      <c r="C2" s="124" t="s">
        <v>53</v>
      </c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</row>
    <row r="3" spans="2:16" ht="20" customHeight="1" x14ac:dyDescent="0.2">
      <c r="B3" s="123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</row>
    <row r="4" spans="2:16" x14ac:dyDescent="0.2">
      <c r="B4" s="123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</row>
    <row r="5" spans="2:16" x14ac:dyDescent="0.2">
      <c r="B5" s="123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</row>
    <row r="6" spans="2:16" x14ac:dyDescent="0.2">
      <c r="B6" s="123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</row>
    <row r="7" spans="2:16" x14ac:dyDescent="0.2">
      <c r="B7" s="123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</row>
    <row r="8" spans="2:16" ht="15" customHeight="1" x14ac:dyDescent="0.2"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</row>
    <row r="9" spans="2:16" ht="15" customHeight="1" x14ac:dyDescent="0.2">
      <c r="B9" s="123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</row>
    <row r="10" spans="2:16" x14ac:dyDescent="0.2">
      <c r="B10" s="123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</row>
    <row r="11" spans="2:16" x14ac:dyDescent="0.2">
      <c r="B11" s="123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</row>
    <row r="12" spans="2:16" x14ac:dyDescent="0.2">
      <c r="B12" s="123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</row>
    <row r="13" spans="2:16" ht="17" thickBot="1" x14ac:dyDescent="0.25"/>
    <row r="14" spans="2:16" ht="16" customHeight="1" x14ac:dyDescent="0.2">
      <c r="B14" s="125" t="s">
        <v>0</v>
      </c>
      <c r="C14" s="126"/>
      <c r="D14" s="131" t="s">
        <v>1</v>
      </c>
      <c r="E14" s="132"/>
      <c r="F14" s="132"/>
      <c r="G14" s="132"/>
      <c r="H14" s="132"/>
      <c r="I14" s="132"/>
      <c r="J14" s="132"/>
      <c r="K14" s="132"/>
      <c r="L14" s="132"/>
      <c r="M14" s="132"/>
      <c r="N14" s="133"/>
      <c r="O14" s="20"/>
      <c r="P14" s="21"/>
    </row>
    <row r="15" spans="2:16" ht="16" customHeight="1" x14ac:dyDescent="0.2">
      <c r="B15" s="127"/>
      <c r="C15" s="128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5"/>
      <c r="O15" s="20"/>
      <c r="P15" s="21"/>
    </row>
    <row r="16" spans="2:16" ht="17" thickBot="1" x14ac:dyDescent="0.25">
      <c r="B16" s="129"/>
      <c r="C16" s="130"/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7"/>
      <c r="O16" s="20"/>
      <c r="P16" s="21"/>
    </row>
    <row r="17" spans="2:20" x14ac:dyDescent="0.2">
      <c r="B17" s="22"/>
      <c r="C17" s="22"/>
      <c r="D17" s="22"/>
      <c r="E17" s="22"/>
      <c r="F17" s="22"/>
      <c r="G17" s="22"/>
      <c r="I17" s="22"/>
    </row>
    <row r="18" spans="2:20" x14ac:dyDescent="0.2">
      <c r="B18" s="23" t="s">
        <v>2</v>
      </c>
      <c r="C18" s="138" t="s">
        <v>3</v>
      </c>
      <c r="D18" s="139"/>
      <c r="E18" s="24" t="s">
        <v>4</v>
      </c>
      <c r="F18" s="25"/>
      <c r="G18" s="140" t="s">
        <v>36</v>
      </c>
      <c r="H18" s="140"/>
      <c r="I18" s="140"/>
      <c r="K18" s="23" t="s">
        <v>49</v>
      </c>
      <c r="L18" s="26" t="str" cm="1">
        <f t="array" ref="L18">IF(AND(LOOKUP(2,1/(ISNUMBER(G30:G41)),G30:G41)&gt; N21,LOOKUP(2,1/(ISNUMBER(G30:G41)),G30:G41) &lt;= L21), "Green",
  IF(AND(LOOKUP(2,1/(ISNUMBER(G30:G41)),G30:G41) &gt; N22,LOOKUP(2,1/(ISNUMBER(G30:G41)),G30:G41) &lt;= L22), "Yellow",
  IF(AND(LOOKUP(2,1/(ISNUMBER(G30:G41)),G30:G41) &gt; N23,LOOKUP(2,1/(ISNUMBER(G30:G41)),G30:G41) &lt;= L23), "Red", "Out of Bounds")))</f>
        <v>Green</v>
      </c>
    </row>
    <row r="19" spans="2:20" x14ac:dyDescent="0.2">
      <c r="B19" s="23" t="s">
        <v>5</v>
      </c>
      <c r="C19" s="106" t="s">
        <v>6</v>
      </c>
      <c r="D19" s="107"/>
      <c r="E19" s="108"/>
      <c r="F19" s="27"/>
      <c r="G19" s="109" t="s">
        <v>32</v>
      </c>
      <c r="H19" s="109"/>
      <c r="I19" s="7" t="s">
        <v>31</v>
      </c>
      <c r="M19" s="28"/>
    </row>
    <row r="20" spans="2:20" ht="16" customHeight="1" x14ac:dyDescent="0.2">
      <c r="B20" s="110" t="s">
        <v>7</v>
      </c>
      <c r="C20" s="112" t="s">
        <v>8</v>
      </c>
      <c r="D20" s="113"/>
      <c r="E20" s="114"/>
      <c r="F20" s="27"/>
      <c r="G20" s="118" t="s">
        <v>25</v>
      </c>
      <c r="H20" s="119"/>
      <c r="I20" s="73">
        <v>0.99</v>
      </c>
      <c r="K20" s="105" t="s">
        <v>50</v>
      </c>
      <c r="L20" s="29" t="s">
        <v>9</v>
      </c>
      <c r="M20" s="30"/>
      <c r="N20" s="29" t="s">
        <v>10</v>
      </c>
    </row>
    <row r="21" spans="2:20" ht="34" customHeight="1" x14ac:dyDescent="0.2">
      <c r="B21" s="111"/>
      <c r="C21" s="115"/>
      <c r="D21" s="116"/>
      <c r="E21" s="117"/>
      <c r="F21" s="27"/>
      <c r="G21" s="121" t="s">
        <v>55</v>
      </c>
      <c r="H21" s="119"/>
      <c r="I21" s="73">
        <v>0.8</v>
      </c>
      <c r="K21" s="105"/>
      <c r="L21" s="73">
        <v>0.99</v>
      </c>
      <c r="M21" s="31" t="s">
        <v>11</v>
      </c>
      <c r="N21" s="99">
        <v>0.9</v>
      </c>
      <c r="O21" s="12" t="s">
        <v>12</v>
      </c>
    </row>
    <row r="22" spans="2:20" ht="17" x14ac:dyDescent="0.2">
      <c r="B22" s="122" t="s">
        <v>13</v>
      </c>
      <c r="C22" s="112" t="s">
        <v>14</v>
      </c>
      <c r="D22" s="113"/>
      <c r="E22" s="114"/>
      <c r="F22" s="28"/>
      <c r="G22" s="54"/>
      <c r="K22" s="105"/>
      <c r="L22" s="73">
        <v>0.9</v>
      </c>
      <c r="M22" s="32" t="s">
        <v>11</v>
      </c>
      <c r="N22" s="99">
        <v>0.75</v>
      </c>
      <c r="O22" s="12" t="s">
        <v>15</v>
      </c>
    </row>
    <row r="23" spans="2:20" ht="17" x14ac:dyDescent="0.2">
      <c r="B23" s="122"/>
      <c r="C23" s="115"/>
      <c r="D23" s="116"/>
      <c r="E23" s="117"/>
      <c r="F23" s="28"/>
      <c r="G23" s="28"/>
      <c r="K23" s="120"/>
      <c r="L23" s="73">
        <v>0.75</v>
      </c>
      <c r="M23" s="33" t="s">
        <v>16</v>
      </c>
      <c r="N23" s="99">
        <v>0</v>
      </c>
    </row>
    <row r="24" spans="2:20" x14ac:dyDescent="0.2">
      <c r="B24" s="23" t="s">
        <v>17</v>
      </c>
      <c r="C24" s="34" t="s">
        <v>18</v>
      </c>
      <c r="D24" s="34" t="s">
        <v>19</v>
      </c>
      <c r="E24" s="35">
        <v>2025</v>
      </c>
      <c r="F24" s="28"/>
      <c r="G24" s="28"/>
    </row>
    <row r="25" spans="2:20" ht="17" customHeight="1" x14ac:dyDescent="0.2">
      <c r="H25" s="36"/>
    </row>
    <row r="26" spans="2:20" ht="17" customHeight="1" thickBot="1" x14ac:dyDescent="0.25">
      <c r="H26" s="36"/>
    </row>
    <row r="27" spans="2:20" ht="20" thickBot="1" x14ac:dyDescent="0.3">
      <c r="B27" s="102" t="s">
        <v>21</v>
      </c>
      <c r="C27" s="103"/>
      <c r="R27" s="104" t="s">
        <v>35</v>
      </c>
      <c r="S27" s="104"/>
      <c r="T27" s="104"/>
    </row>
    <row r="28" spans="2:20" ht="34" x14ac:dyDescent="0.2">
      <c r="B28" s="6" t="s">
        <v>22</v>
      </c>
      <c r="C28" s="13" t="s">
        <v>23</v>
      </c>
      <c r="D28" s="14" t="s">
        <v>29</v>
      </c>
      <c r="E28" s="15" t="s">
        <v>30</v>
      </c>
      <c r="F28" s="15" t="s">
        <v>26</v>
      </c>
      <c r="G28" s="15" t="s">
        <v>24</v>
      </c>
      <c r="H28" s="70" t="s">
        <v>46</v>
      </c>
      <c r="I28" s="53"/>
      <c r="P28" s="13" t="s">
        <v>47</v>
      </c>
      <c r="Q28" s="13" t="s">
        <v>48</v>
      </c>
      <c r="R28" s="13" t="s">
        <v>27</v>
      </c>
      <c r="S28" s="13" t="s">
        <v>28</v>
      </c>
      <c r="T28" s="37" t="s">
        <v>34</v>
      </c>
    </row>
    <row r="29" spans="2:20" s="86" customFormat="1" hidden="1" x14ac:dyDescent="0.2">
      <c r="B29" s="81"/>
      <c r="C29" s="82"/>
      <c r="D29" s="83">
        <f>I21</f>
        <v>0.8</v>
      </c>
      <c r="E29" s="82">
        <f>$I$21</f>
        <v>0.8</v>
      </c>
      <c r="F29" s="82"/>
      <c r="G29" s="82"/>
      <c r="H29" s="84"/>
      <c r="I29" s="85"/>
      <c r="P29" s="82">
        <f>D29+F29</f>
        <v>0.8</v>
      </c>
      <c r="Q29" s="82">
        <f>P29</f>
        <v>0.8</v>
      </c>
      <c r="R29" s="82">
        <f>$I$20-I21</f>
        <v>0.18999999999999995</v>
      </c>
      <c r="S29" s="82">
        <f>COUNT(C30:C41)</f>
        <v>8</v>
      </c>
      <c r="T29" s="87">
        <f>R29/S29</f>
        <v>2.3749999999999993E-2</v>
      </c>
    </row>
    <row r="30" spans="2:20" ht="16" customHeight="1" x14ac:dyDescent="0.2">
      <c r="B30" s="1">
        <v>1</v>
      </c>
      <c r="C30" s="63">
        <v>45688</v>
      </c>
      <c r="D30" s="72">
        <v>0.83</v>
      </c>
      <c r="E30" s="3">
        <f t="shared" ref="E30:E41" si="0">IF(C30="","",IF(D29="",Q29+T29,D29+T29))</f>
        <v>0.82374999999999998</v>
      </c>
      <c r="F30" s="17"/>
      <c r="G30" s="4">
        <f>IF(D30="","",D30-F30)</f>
        <v>0.83</v>
      </c>
      <c r="H30" s="4">
        <f>D30</f>
        <v>0.83</v>
      </c>
      <c r="I30" s="69"/>
      <c r="K30" s="105" t="s">
        <v>38</v>
      </c>
      <c r="L30" s="76" t="s">
        <v>9</v>
      </c>
      <c r="M30" s="74"/>
      <c r="N30" s="75" t="s">
        <v>10</v>
      </c>
      <c r="O30" s="55"/>
      <c r="P30" s="80">
        <f t="shared" ref="P30:P37" si="1">IF(C30="","",D30+F31)</f>
        <v>0.83</v>
      </c>
      <c r="Q30" s="80">
        <f>IF(C30="","",IF(D30="",Q29+P30+T29,P30))</f>
        <v>0.83</v>
      </c>
      <c r="R30" s="80">
        <f t="shared" ref="R30:R38" si="2">IF(C30="","",$I$20-Q30)</f>
        <v>0.16000000000000003</v>
      </c>
      <c r="S30" s="47">
        <f t="shared" ref="S30:S31" si="3">IF(C30="","",IF(D30="",S29,S29-1))</f>
        <v>7</v>
      </c>
      <c r="T30" s="88">
        <f>IF(OR(C30="",S30=0),"",R30/S30)</f>
        <v>2.2857142857142861E-2</v>
      </c>
    </row>
    <row r="31" spans="2:20" ht="16" customHeight="1" x14ac:dyDescent="0.2">
      <c r="B31" s="1">
        <v>2</v>
      </c>
      <c r="C31" s="63">
        <v>45716</v>
      </c>
      <c r="D31" s="72">
        <v>0.69899999999999995</v>
      </c>
      <c r="E31" s="3">
        <f t="shared" si="0"/>
        <v>0.85285714285714287</v>
      </c>
      <c r="F31" s="17"/>
      <c r="G31" s="4">
        <f>IF(D31="","",D31)</f>
        <v>0.69899999999999995</v>
      </c>
      <c r="H31" s="4">
        <f t="shared" ref="H31:H41" si="4">IF(D31="","",D31-D30)</f>
        <v>-0.13100000000000001</v>
      </c>
      <c r="I31" s="69"/>
      <c r="K31" s="105"/>
      <c r="L31" s="77" t="s">
        <v>30</v>
      </c>
      <c r="M31" s="59" t="s">
        <v>39</v>
      </c>
      <c r="N31" s="79" t="s">
        <v>29</v>
      </c>
      <c r="P31" s="80">
        <f t="shared" si="1"/>
        <v>0.69899999999999995</v>
      </c>
      <c r="Q31" s="80">
        <f t="shared" ref="Q31:Q33" si="5">IF(C31="","",IF(D31="",Q30+P31+T30,P31))</f>
        <v>0.69899999999999995</v>
      </c>
      <c r="R31" s="80">
        <f t="shared" si="2"/>
        <v>0.29100000000000004</v>
      </c>
      <c r="S31" s="47">
        <f t="shared" si="3"/>
        <v>6</v>
      </c>
      <c r="T31" s="88">
        <f t="shared" ref="T31:T37" si="6">IF(OR(C31="",S31=0),"",R31/S31)</f>
        <v>4.8500000000000008E-2</v>
      </c>
    </row>
    <row r="32" spans="2:20" ht="17" customHeight="1" x14ac:dyDescent="0.2">
      <c r="B32" s="1">
        <v>3</v>
      </c>
      <c r="C32" s="63">
        <v>45747</v>
      </c>
      <c r="D32" s="72">
        <v>0.87</v>
      </c>
      <c r="E32" s="3">
        <f t="shared" si="0"/>
        <v>0.74749999999999994</v>
      </c>
      <c r="F32" s="17"/>
      <c r="G32" s="4">
        <f t="shared" ref="G32:G41" si="7">IF(D32="","",D32)</f>
        <v>0.87</v>
      </c>
      <c r="H32" s="4">
        <f t="shared" si="4"/>
        <v>0.17100000000000004</v>
      </c>
      <c r="I32" s="69"/>
      <c r="K32" s="105"/>
      <c r="L32" s="77" t="s">
        <v>30</v>
      </c>
      <c r="M32" s="60" t="s">
        <v>40</v>
      </c>
      <c r="N32" s="99">
        <v>0.7</v>
      </c>
      <c r="O32" s="12" t="s">
        <v>43</v>
      </c>
      <c r="P32" s="80">
        <f t="shared" si="1"/>
        <v>0.87</v>
      </c>
      <c r="Q32" s="80">
        <f t="shared" si="5"/>
        <v>0.87</v>
      </c>
      <c r="R32" s="80">
        <f t="shared" si="2"/>
        <v>0.12</v>
      </c>
      <c r="S32" s="47">
        <f>IF(C32="","",S31-1)</f>
        <v>5</v>
      </c>
      <c r="T32" s="88">
        <f>IF(OR(C32="",S32=0),"",R32/S32)</f>
        <v>2.4E-2</v>
      </c>
    </row>
    <row r="33" spans="2:24" ht="16" customHeight="1" x14ac:dyDescent="0.2">
      <c r="B33" s="1">
        <v>4</v>
      </c>
      <c r="C33" s="63">
        <v>45777</v>
      </c>
      <c r="D33" s="72">
        <v>0.89</v>
      </c>
      <c r="E33" s="3">
        <f t="shared" si="0"/>
        <v>0.89400000000000002</v>
      </c>
      <c r="F33" s="17"/>
      <c r="G33" s="4">
        <f t="shared" si="7"/>
        <v>0.89</v>
      </c>
      <c r="H33" s="4">
        <f t="shared" si="4"/>
        <v>2.0000000000000018E-2</v>
      </c>
      <c r="I33" s="69"/>
      <c r="K33" s="105"/>
      <c r="L33" s="101">
        <v>0.7</v>
      </c>
      <c r="M33" s="61" t="s">
        <v>37</v>
      </c>
      <c r="N33" s="100">
        <v>0</v>
      </c>
      <c r="O33" s="12" t="s">
        <v>42</v>
      </c>
      <c r="P33" s="80">
        <f t="shared" si="1"/>
        <v>0.89</v>
      </c>
      <c r="Q33" s="80">
        <f t="shared" si="5"/>
        <v>0.89</v>
      </c>
      <c r="R33" s="80">
        <f t="shared" si="2"/>
        <v>9.9999999999999978E-2</v>
      </c>
      <c r="S33" s="47">
        <f t="shared" ref="S33:S41" si="8">IF(C33="","",S32-1)</f>
        <v>4</v>
      </c>
      <c r="T33" s="88">
        <f t="shared" si="6"/>
        <v>2.4999999999999994E-2</v>
      </c>
    </row>
    <row r="34" spans="2:24" x14ac:dyDescent="0.2">
      <c r="B34" s="1">
        <v>5</v>
      </c>
      <c r="C34" s="63">
        <v>45808</v>
      </c>
      <c r="D34" s="72">
        <v>0.91500000000000004</v>
      </c>
      <c r="E34" s="3">
        <f t="shared" si="0"/>
        <v>0.91500000000000004</v>
      </c>
      <c r="F34" s="17"/>
      <c r="G34" s="4">
        <f t="shared" si="7"/>
        <v>0.91500000000000004</v>
      </c>
      <c r="H34" s="4">
        <f t="shared" si="4"/>
        <v>2.5000000000000022E-2</v>
      </c>
      <c r="I34" s="69"/>
      <c r="K34" s="12" t="s">
        <v>12</v>
      </c>
      <c r="L34" s="56"/>
      <c r="M34" s="55"/>
      <c r="N34" s="56"/>
      <c r="P34" s="80">
        <f t="shared" si="1"/>
        <v>0.92500000000000004</v>
      </c>
      <c r="Q34" s="80">
        <f>IF(C34="","",IF(D34="",Q33+P34+T33,P34))</f>
        <v>0.92500000000000004</v>
      </c>
      <c r="R34" s="80">
        <f t="shared" si="2"/>
        <v>6.4999999999999947E-2</v>
      </c>
      <c r="S34" s="47">
        <f t="shared" si="8"/>
        <v>3</v>
      </c>
      <c r="T34" s="88">
        <f t="shared" si="6"/>
        <v>2.166666666666665E-2</v>
      </c>
    </row>
    <row r="35" spans="2:24" x14ac:dyDescent="0.2">
      <c r="B35" s="1">
        <v>6</v>
      </c>
      <c r="C35" s="63">
        <v>45838</v>
      </c>
      <c r="D35" s="72">
        <v>0.95</v>
      </c>
      <c r="E35" s="3">
        <f t="shared" si="0"/>
        <v>0.93666666666666665</v>
      </c>
      <c r="F35" s="17">
        <v>0.01</v>
      </c>
      <c r="G35" s="4">
        <f t="shared" si="7"/>
        <v>0.95</v>
      </c>
      <c r="H35" s="4">
        <f t="shared" si="4"/>
        <v>3.499999999999992E-2</v>
      </c>
      <c r="I35" s="69"/>
      <c r="K35" s="12" t="s">
        <v>44</v>
      </c>
      <c r="P35" s="80">
        <f t="shared" si="1"/>
        <v>0.95</v>
      </c>
      <c r="Q35" s="80">
        <f t="shared" ref="Q35:Q41" si="9">IF(C35="","",IF(D35="",Q34+P35+T34,P35))</f>
        <v>0.95</v>
      </c>
      <c r="R35" s="80">
        <f>IF(C35="","",$I$20-Q35)</f>
        <v>4.0000000000000036E-2</v>
      </c>
      <c r="S35" s="47">
        <f t="shared" si="8"/>
        <v>2</v>
      </c>
      <c r="T35" s="88">
        <f>IF(OR(C35="",S35=0),"",R35/S35)</f>
        <v>2.0000000000000018E-2</v>
      </c>
    </row>
    <row r="36" spans="2:24" x14ac:dyDescent="0.2">
      <c r="B36" s="1">
        <v>7</v>
      </c>
      <c r="C36" s="63">
        <v>45869</v>
      </c>
      <c r="D36" s="72"/>
      <c r="E36" s="3">
        <f t="shared" si="0"/>
        <v>0.97</v>
      </c>
      <c r="F36" s="17"/>
      <c r="G36" s="4" t="str">
        <f t="shared" si="7"/>
        <v/>
      </c>
      <c r="H36" s="4" t="str">
        <f t="shared" si="4"/>
        <v/>
      </c>
      <c r="I36" s="69"/>
      <c r="K36" s="12" t="s">
        <v>41</v>
      </c>
      <c r="L36" s="12"/>
      <c r="M36" s="57"/>
      <c r="N36" s="12"/>
      <c r="P36" s="80">
        <f t="shared" si="1"/>
        <v>0</v>
      </c>
      <c r="Q36" s="80">
        <f t="shared" si="9"/>
        <v>0.97</v>
      </c>
      <c r="R36" s="80">
        <f>IF(C36="","",$I$20-Q36)</f>
        <v>2.0000000000000018E-2</v>
      </c>
      <c r="S36" s="47">
        <f t="shared" si="8"/>
        <v>1</v>
      </c>
      <c r="T36" s="88">
        <f t="shared" si="6"/>
        <v>2.0000000000000018E-2</v>
      </c>
    </row>
    <row r="37" spans="2:24" x14ac:dyDescent="0.2">
      <c r="B37" s="1">
        <v>8</v>
      </c>
      <c r="C37" s="63">
        <v>45900</v>
      </c>
      <c r="D37" s="72"/>
      <c r="E37" s="3">
        <f t="shared" si="0"/>
        <v>0.99</v>
      </c>
      <c r="F37" s="17"/>
      <c r="G37" s="4" t="str">
        <f t="shared" si="7"/>
        <v/>
      </c>
      <c r="H37" s="4" t="str">
        <f t="shared" si="4"/>
        <v/>
      </c>
      <c r="I37" s="69"/>
      <c r="K37" s="12" t="s">
        <v>45</v>
      </c>
      <c r="L37" s="12"/>
      <c r="M37" s="57"/>
      <c r="N37" s="12"/>
      <c r="P37" s="80">
        <f t="shared" si="1"/>
        <v>0</v>
      </c>
      <c r="Q37" s="80">
        <f t="shared" si="9"/>
        <v>0.99</v>
      </c>
      <c r="R37" s="80">
        <f t="shared" si="2"/>
        <v>0</v>
      </c>
      <c r="S37" s="47">
        <f t="shared" si="8"/>
        <v>0</v>
      </c>
      <c r="T37" s="88" t="str">
        <f t="shared" si="6"/>
        <v/>
      </c>
    </row>
    <row r="38" spans="2:24" x14ac:dyDescent="0.2">
      <c r="B38" s="1">
        <v>9</v>
      </c>
      <c r="C38" s="63"/>
      <c r="D38" s="72"/>
      <c r="E38" s="3" t="str">
        <f t="shared" si="0"/>
        <v/>
      </c>
      <c r="F38" s="17"/>
      <c r="G38" s="4" t="str">
        <f t="shared" si="7"/>
        <v/>
      </c>
      <c r="H38" s="4" t="str">
        <f t="shared" si="4"/>
        <v/>
      </c>
      <c r="I38" s="69"/>
      <c r="K38" s="12" t="s">
        <v>51</v>
      </c>
      <c r="L38" s="12"/>
      <c r="M38" s="57"/>
      <c r="N38" s="12"/>
      <c r="P38" s="80" t="str">
        <f>IF(C38="","",D38+F39)</f>
        <v/>
      </c>
      <c r="Q38" s="80" t="str">
        <f t="shared" si="9"/>
        <v/>
      </c>
      <c r="R38" s="80" t="str">
        <f t="shared" si="2"/>
        <v/>
      </c>
      <c r="S38" s="47" t="str">
        <f t="shared" si="8"/>
        <v/>
      </c>
      <c r="T38" s="88" t="str">
        <f>IF(OR(C38="",S38=0),"",R38/S38)</f>
        <v/>
      </c>
    </row>
    <row r="39" spans="2:24" x14ac:dyDescent="0.2">
      <c r="B39" s="1">
        <v>10</v>
      </c>
      <c r="C39" s="63"/>
      <c r="D39" s="72"/>
      <c r="E39" s="3" t="str">
        <f t="shared" si="0"/>
        <v/>
      </c>
      <c r="F39" s="17"/>
      <c r="G39" s="4" t="str">
        <f t="shared" si="7"/>
        <v/>
      </c>
      <c r="H39" s="4" t="str">
        <f t="shared" si="4"/>
        <v/>
      </c>
      <c r="I39" s="69"/>
      <c r="P39" s="80" t="str">
        <f t="shared" ref="P39:P41" si="10">IF(C39="","",D39+F39)</f>
        <v/>
      </c>
      <c r="Q39" s="80" t="str">
        <f t="shared" si="9"/>
        <v/>
      </c>
      <c r="R39" s="80" t="str">
        <f>IF(C39="","",$I$20-Q39)</f>
        <v/>
      </c>
      <c r="S39" s="47" t="str">
        <f t="shared" si="8"/>
        <v/>
      </c>
      <c r="T39" s="88" t="str">
        <f t="shared" ref="T39:T41" si="11">IF(OR(C39="",S39=0),"",R39/S39)</f>
        <v/>
      </c>
    </row>
    <row r="40" spans="2:24" x14ac:dyDescent="0.2">
      <c r="B40" s="1">
        <v>11</v>
      </c>
      <c r="C40" s="63"/>
      <c r="D40" s="72"/>
      <c r="E40" s="3" t="str">
        <f t="shared" si="0"/>
        <v/>
      </c>
      <c r="F40" s="17"/>
      <c r="G40" s="4" t="str">
        <f t="shared" si="7"/>
        <v/>
      </c>
      <c r="H40" s="4" t="str">
        <f t="shared" si="4"/>
        <v/>
      </c>
      <c r="I40" s="69"/>
      <c r="K40" s="19" t="s">
        <v>52</v>
      </c>
      <c r="P40" s="80" t="str">
        <f t="shared" si="10"/>
        <v/>
      </c>
      <c r="Q40" s="80" t="str">
        <f t="shared" si="9"/>
        <v/>
      </c>
      <c r="R40" s="80" t="str">
        <f t="shared" ref="R40:R41" si="12">IF(C40="","",$I$20-Q40)</f>
        <v/>
      </c>
      <c r="S40" s="47" t="str">
        <f t="shared" si="8"/>
        <v/>
      </c>
      <c r="T40" s="88" t="str">
        <f t="shared" si="11"/>
        <v/>
      </c>
    </row>
    <row r="41" spans="2:24" ht="17" thickBot="1" x14ac:dyDescent="0.25">
      <c r="B41" s="2">
        <v>12</v>
      </c>
      <c r="C41" s="64"/>
      <c r="D41" s="72"/>
      <c r="E41" s="3" t="str">
        <f t="shared" si="0"/>
        <v/>
      </c>
      <c r="F41" s="18"/>
      <c r="G41" s="4" t="str">
        <f t="shared" si="7"/>
        <v/>
      </c>
      <c r="H41" s="4" t="str">
        <f t="shared" si="4"/>
        <v/>
      </c>
      <c r="I41" s="69"/>
      <c r="P41" s="80" t="str">
        <f t="shared" si="10"/>
        <v/>
      </c>
      <c r="Q41" s="80" t="str">
        <f t="shared" si="9"/>
        <v/>
      </c>
      <c r="R41" s="80" t="str">
        <f t="shared" si="12"/>
        <v/>
      </c>
      <c r="S41" s="47" t="str">
        <f t="shared" si="8"/>
        <v/>
      </c>
      <c r="T41" s="88" t="str">
        <f t="shared" si="11"/>
        <v/>
      </c>
    </row>
    <row r="47" spans="2:24" x14ac:dyDescent="0.2">
      <c r="X47" s="38"/>
    </row>
    <row r="48" spans="2:24" x14ac:dyDescent="0.2">
      <c r="X48" s="38"/>
    </row>
    <row r="49" spans="21:24" x14ac:dyDescent="0.2">
      <c r="X49" s="38"/>
    </row>
    <row r="50" spans="21:24" x14ac:dyDescent="0.2">
      <c r="U50" s="39"/>
      <c r="W50" s="40"/>
      <c r="X50" s="38"/>
    </row>
    <row r="74" spans="8:8" x14ac:dyDescent="0.2">
      <c r="H74" s="50"/>
    </row>
    <row r="75" spans="8:8" x14ac:dyDescent="0.2">
      <c r="H75" s="50"/>
    </row>
  </sheetData>
  <mergeCells count="18">
    <mergeCell ref="B2:B12"/>
    <mergeCell ref="C2:N12"/>
    <mergeCell ref="B14:C16"/>
    <mergeCell ref="D14:N16"/>
    <mergeCell ref="C18:D18"/>
    <mergeCell ref="G18:I18"/>
    <mergeCell ref="B27:C27"/>
    <mergeCell ref="R27:T27"/>
    <mergeCell ref="K30:K33"/>
    <mergeCell ref="C19:E19"/>
    <mergeCell ref="G19:H19"/>
    <mergeCell ref="B20:B21"/>
    <mergeCell ref="C20:E21"/>
    <mergeCell ref="G20:H20"/>
    <mergeCell ref="K20:K23"/>
    <mergeCell ref="G21:H21"/>
    <mergeCell ref="B22:B23"/>
    <mergeCell ref="C22:E23"/>
  </mergeCells>
  <conditionalFormatting sqref="L18">
    <cfRule type="containsText" dxfId="20" priority="1" stopIfTrue="1" operator="containsText" text="Red">
      <formula>NOT(ISERROR(SEARCH("Red",L18)))</formula>
    </cfRule>
    <cfRule type="containsText" dxfId="19" priority="2" stopIfTrue="1" operator="containsText" text="Yellow">
      <formula>NOT(ISERROR(SEARCH("Yellow",L18)))</formula>
    </cfRule>
    <cfRule type="containsText" dxfId="18" priority="3" stopIfTrue="1" operator="containsText" text="Green">
      <formula>NOT(ISERROR(SEARCH("Green",L18)))</formula>
    </cfRule>
  </conditionalFormatting>
  <conditionalFormatting sqref="D30:D41">
    <cfRule type="containsBlanks" dxfId="17" priority="4" stopIfTrue="1">
      <formula>LEN(TRIM(D30))=0</formula>
    </cfRule>
    <cfRule type="cellIs" dxfId="16" priority="5" stopIfTrue="1" operator="lessThan">
      <formula>$L$33</formula>
    </cfRule>
    <cfRule type="cellIs" dxfId="15" priority="6" stopIfTrue="1" operator="greaterThanOrEqual">
      <formula>E30</formula>
    </cfRule>
    <cfRule type="cellIs" dxfId="14" priority="7" operator="lessThan">
      <formula>E30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moveMonth">
                <anchor moveWithCells="1" sizeWithCells="1">
                  <from>
                    <xdr:col>7</xdr:col>
                    <xdr:colOff>711200</xdr:colOff>
                    <xdr:row>24</xdr:row>
                    <xdr:rowOff>127000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ddMonth">
                <anchor moveWithCells="1" sizeWithCells="1">
                  <from>
                    <xdr:col>6</xdr:col>
                    <xdr:colOff>63500</xdr:colOff>
                    <xdr:row>24</xdr:row>
                    <xdr:rowOff>114300</xdr:rowOff>
                  </from>
                  <to>
                    <xdr:col>7</xdr:col>
                    <xdr:colOff>558800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090A8-B5ED-FD4A-989F-D29A8D232275}">
  <sheetPr codeName="Sheet2"/>
  <dimension ref="B2:X75"/>
  <sheetViews>
    <sheetView showGridLines="0" zoomScale="130" zoomScaleNormal="130" workbookViewId="0">
      <selection activeCell="F21" sqref="F21"/>
    </sheetView>
  </sheetViews>
  <sheetFormatPr baseColWidth="10" defaultRowHeight="16" x14ac:dyDescent="0.2"/>
  <cols>
    <col min="1" max="1" width="10.83203125" style="19"/>
    <col min="2" max="2" width="12.33203125" style="19" customWidth="1"/>
    <col min="3" max="3" width="11.33203125" style="19" bestFit="1" customWidth="1"/>
    <col min="4" max="4" width="10.5" style="19" customWidth="1"/>
    <col min="5" max="5" width="12.6640625" style="19" customWidth="1"/>
    <col min="6" max="6" width="12.33203125" style="19" customWidth="1"/>
    <col min="7" max="7" width="11.1640625" style="19" bestFit="1" customWidth="1"/>
    <col min="8" max="8" width="13.83203125" style="19" bestFit="1" customWidth="1"/>
    <col min="9" max="9" width="10.83203125" style="19"/>
    <col min="10" max="10" width="15" style="19" customWidth="1"/>
    <col min="11" max="11" width="13" style="19" customWidth="1"/>
    <col min="12" max="12" width="13.83203125" style="19" customWidth="1"/>
    <col min="13" max="13" width="18.33203125" style="19" customWidth="1"/>
    <col min="14" max="14" width="13.1640625" style="19" customWidth="1"/>
    <col min="15" max="15" width="10.83203125" style="19"/>
    <col min="16" max="16" width="11.83203125" style="19" hidden="1" customWidth="1"/>
    <col min="17" max="17" width="13.83203125" style="19" hidden="1" customWidth="1"/>
    <col min="18" max="18" width="12.5" style="19" hidden="1" customWidth="1"/>
    <col min="19" max="19" width="10" style="19" hidden="1" customWidth="1"/>
    <col min="20" max="20" width="14.83203125" style="19" hidden="1" customWidth="1"/>
    <col min="21" max="21" width="10.83203125" style="19"/>
    <col min="22" max="22" width="14.5" style="19" bestFit="1" customWidth="1"/>
    <col min="23" max="16384" width="10.83203125" style="19"/>
  </cols>
  <sheetData>
    <row r="2" spans="2:16" ht="16" customHeight="1" x14ac:dyDescent="0.2">
      <c r="B2" s="123" t="s">
        <v>20</v>
      </c>
      <c r="C2" s="124" t="s">
        <v>53</v>
      </c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</row>
    <row r="3" spans="2:16" ht="20" customHeight="1" x14ac:dyDescent="0.2">
      <c r="B3" s="123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</row>
    <row r="4" spans="2:16" x14ac:dyDescent="0.2">
      <c r="B4" s="123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</row>
    <row r="5" spans="2:16" x14ac:dyDescent="0.2">
      <c r="B5" s="123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</row>
    <row r="6" spans="2:16" x14ac:dyDescent="0.2">
      <c r="B6" s="123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</row>
    <row r="7" spans="2:16" x14ac:dyDescent="0.2">
      <c r="B7" s="123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</row>
    <row r="8" spans="2:16" ht="15" customHeight="1" x14ac:dyDescent="0.2"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</row>
    <row r="9" spans="2:16" ht="15" customHeight="1" x14ac:dyDescent="0.2">
      <c r="B9" s="123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</row>
    <row r="10" spans="2:16" x14ac:dyDescent="0.2">
      <c r="B10" s="123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</row>
    <row r="11" spans="2:16" x14ac:dyDescent="0.2">
      <c r="B11" s="123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</row>
    <row r="12" spans="2:16" x14ac:dyDescent="0.2">
      <c r="B12" s="123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</row>
    <row r="13" spans="2:16" ht="17" thickBot="1" x14ac:dyDescent="0.25"/>
    <row r="14" spans="2:16" ht="16" customHeight="1" x14ac:dyDescent="0.2">
      <c r="B14" s="125" t="s">
        <v>0</v>
      </c>
      <c r="C14" s="126"/>
      <c r="D14" s="131" t="s">
        <v>1</v>
      </c>
      <c r="E14" s="132"/>
      <c r="F14" s="132"/>
      <c r="G14" s="132"/>
      <c r="H14" s="132"/>
      <c r="I14" s="132"/>
      <c r="J14" s="132"/>
      <c r="K14" s="132"/>
      <c r="L14" s="132"/>
      <c r="M14" s="132"/>
      <c r="N14" s="133"/>
      <c r="O14" s="20"/>
      <c r="P14" s="21"/>
    </row>
    <row r="15" spans="2:16" ht="16" customHeight="1" x14ac:dyDescent="0.2">
      <c r="B15" s="127"/>
      <c r="C15" s="128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5"/>
      <c r="O15" s="20"/>
      <c r="P15" s="21"/>
    </row>
    <row r="16" spans="2:16" ht="17" thickBot="1" x14ac:dyDescent="0.25">
      <c r="B16" s="129"/>
      <c r="C16" s="130"/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7"/>
      <c r="O16" s="20"/>
      <c r="P16" s="21"/>
    </row>
    <row r="17" spans="2:20" x14ac:dyDescent="0.2">
      <c r="B17" s="22"/>
      <c r="C17" s="22"/>
      <c r="D17" s="22"/>
      <c r="E17" s="22"/>
      <c r="F17" s="22"/>
      <c r="G17" s="22"/>
      <c r="I17" s="22"/>
    </row>
    <row r="18" spans="2:20" x14ac:dyDescent="0.2">
      <c r="B18" s="23" t="s">
        <v>2</v>
      </c>
      <c r="C18" s="138" t="s">
        <v>3</v>
      </c>
      <c r="D18" s="139"/>
      <c r="E18" s="24" t="s">
        <v>4</v>
      </c>
      <c r="F18" s="25"/>
      <c r="G18" s="140" t="s">
        <v>36</v>
      </c>
      <c r="H18" s="140"/>
      <c r="I18" s="140"/>
      <c r="K18" s="23" t="s">
        <v>49</v>
      </c>
      <c r="L18" s="26" t="str" cm="1">
        <f t="array" ref="L18">IF(AND(LOOKUP(2,1/(ISNUMBER(G30:G41)),G30:G41)&gt; N21,LOOKUP(2,1/(ISNUMBER(G30:G41)),G30:G41) &lt;= L21), "Green",
  IF(AND(LOOKUP(2,1/(ISNUMBER(G30:G41)),G30:G41) &gt; N22,LOOKUP(2,1/(ISNUMBER(G30:G41)),G30:G41) &lt;= L22), "Yellow",
  IF(AND(LOOKUP(2,1/(ISNUMBER(G30:G41)),G30:G41) &gt; N23,LOOKUP(2,1/(ISNUMBER(G30:G41)),G30:G41) &lt;= L23), "Red", "Out of Bounds")))</f>
        <v>Green</v>
      </c>
    </row>
    <row r="19" spans="2:20" x14ac:dyDescent="0.2">
      <c r="B19" s="23" t="s">
        <v>5</v>
      </c>
      <c r="C19" s="106" t="s">
        <v>6</v>
      </c>
      <c r="D19" s="107"/>
      <c r="E19" s="108"/>
      <c r="F19" s="27"/>
      <c r="G19" s="109" t="s">
        <v>32</v>
      </c>
      <c r="H19" s="109"/>
      <c r="I19" s="7" t="s">
        <v>31</v>
      </c>
      <c r="M19" s="28"/>
    </row>
    <row r="20" spans="2:20" ht="16" customHeight="1" x14ac:dyDescent="0.2">
      <c r="B20" s="110" t="s">
        <v>7</v>
      </c>
      <c r="C20" s="112" t="s">
        <v>8</v>
      </c>
      <c r="D20" s="113"/>
      <c r="E20" s="114"/>
      <c r="F20" s="27"/>
      <c r="G20" s="118" t="s">
        <v>25</v>
      </c>
      <c r="H20" s="119"/>
      <c r="I20" s="41">
        <v>12</v>
      </c>
      <c r="K20" s="105" t="s">
        <v>50</v>
      </c>
      <c r="L20" s="29" t="s">
        <v>9</v>
      </c>
      <c r="M20" s="30"/>
      <c r="N20" s="29" t="s">
        <v>10</v>
      </c>
    </row>
    <row r="21" spans="2:20" ht="34" customHeight="1" x14ac:dyDescent="0.2">
      <c r="B21" s="111"/>
      <c r="C21" s="115"/>
      <c r="D21" s="116"/>
      <c r="E21" s="117"/>
      <c r="F21" s="27"/>
      <c r="G21" s="121" t="s">
        <v>55</v>
      </c>
      <c r="H21" s="119"/>
      <c r="I21" s="41">
        <v>7</v>
      </c>
      <c r="K21" s="105"/>
      <c r="L21" s="41">
        <v>15</v>
      </c>
      <c r="M21" s="31" t="s">
        <v>11</v>
      </c>
      <c r="N21" s="51">
        <v>10</v>
      </c>
      <c r="O21" s="12" t="s">
        <v>12</v>
      </c>
    </row>
    <row r="22" spans="2:20" ht="17" x14ac:dyDescent="0.2">
      <c r="B22" s="122" t="s">
        <v>13</v>
      </c>
      <c r="C22" s="112" t="s">
        <v>14</v>
      </c>
      <c r="D22" s="113"/>
      <c r="E22" s="114"/>
      <c r="F22" s="28"/>
      <c r="G22" s="54"/>
      <c r="K22" s="105"/>
      <c r="L22" s="41">
        <v>10</v>
      </c>
      <c r="M22" s="32" t="s">
        <v>11</v>
      </c>
      <c r="N22" s="51">
        <v>7</v>
      </c>
      <c r="O22" s="12" t="s">
        <v>15</v>
      </c>
    </row>
    <row r="23" spans="2:20" ht="17" x14ac:dyDescent="0.2">
      <c r="B23" s="122"/>
      <c r="C23" s="115"/>
      <c r="D23" s="116"/>
      <c r="E23" s="117"/>
      <c r="F23" s="28"/>
      <c r="G23" s="28"/>
      <c r="K23" s="120"/>
      <c r="L23" s="41">
        <v>7</v>
      </c>
      <c r="M23" s="33" t="s">
        <v>16</v>
      </c>
      <c r="N23" s="51">
        <v>0</v>
      </c>
    </row>
    <row r="24" spans="2:20" x14ac:dyDescent="0.2">
      <c r="B24" s="23" t="s">
        <v>17</v>
      </c>
      <c r="C24" s="34" t="s">
        <v>18</v>
      </c>
      <c r="D24" s="34" t="s">
        <v>19</v>
      </c>
      <c r="E24" s="35">
        <v>2025</v>
      </c>
      <c r="F24" s="28"/>
      <c r="G24" s="28"/>
    </row>
    <row r="25" spans="2:20" ht="17" customHeight="1" x14ac:dyDescent="0.2">
      <c r="H25" s="36"/>
    </row>
    <row r="26" spans="2:20" ht="17" customHeight="1" thickBot="1" x14ac:dyDescent="0.25">
      <c r="H26" s="36"/>
    </row>
    <row r="27" spans="2:20" ht="20" thickBot="1" x14ac:dyDescent="0.3">
      <c r="B27" s="102" t="s">
        <v>21</v>
      </c>
      <c r="C27" s="103"/>
      <c r="R27" s="104" t="s">
        <v>35</v>
      </c>
      <c r="S27" s="104"/>
      <c r="T27" s="104"/>
    </row>
    <row r="28" spans="2:20" ht="34" x14ac:dyDescent="0.2">
      <c r="B28" s="6" t="s">
        <v>22</v>
      </c>
      <c r="C28" s="13" t="s">
        <v>23</v>
      </c>
      <c r="D28" s="14" t="s">
        <v>29</v>
      </c>
      <c r="E28" s="15" t="s">
        <v>30</v>
      </c>
      <c r="F28" s="15" t="s">
        <v>26</v>
      </c>
      <c r="G28" s="15" t="s">
        <v>24</v>
      </c>
      <c r="H28" s="70" t="s">
        <v>46</v>
      </c>
      <c r="I28" s="53"/>
      <c r="P28" s="13" t="s">
        <v>47</v>
      </c>
      <c r="Q28" s="13" t="s">
        <v>48</v>
      </c>
      <c r="R28" s="13" t="s">
        <v>27</v>
      </c>
      <c r="S28" s="13" t="s">
        <v>28</v>
      </c>
      <c r="T28" s="37" t="s">
        <v>34</v>
      </c>
    </row>
    <row r="29" spans="2:20" s="43" customFormat="1" ht="16" hidden="1" customHeight="1" x14ac:dyDescent="0.2">
      <c r="B29" s="10"/>
      <c r="C29" s="65"/>
      <c r="D29" s="52">
        <f>I21</f>
        <v>7</v>
      </c>
      <c r="E29" s="42">
        <f>$I$21</f>
        <v>7</v>
      </c>
      <c r="F29" s="16"/>
      <c r="G29" s="16"/>
      <c r="H29" s="71"/>
      <c r="I29" s="68"/>
      <c r="P29" s="42">
        <f>D29+F29</f>
        <v>7</v>
      </c>
      <c r="Q29" s="42">
        <f>P29</f>
        <v>7</v>
      </c>
      <c r="R29" s="42">
        <f>$I$20-I21</f>
        <v>5</v>
      </c>
      <c r="S29" s="16">
        <f>COUNT(C30:C41)</f>
        <v>12</v>
      </c>
      <c r="T29" s="44">
        <f>R29/S29</f>
        <v>0.41666666666666669</v>
      </c>
    </row>
    <row r="30" spans="2:20" ht="16" customHeight="1" x14ac:dyDescent="0.2">
      <c r="B30" s="1">
        <v>1</v>
      </c>
      <c r="C30" s="63">
        <v>45688</v>
      </c>
      <c r="D30" s="11">
        <v>9</v>
      </c>
      <c r="E30" s="9">
        <f t="shared" ref="E30:E36" si="0">IF(C30="","",IF(D29="",Q29+T29,D29+T29))</f>
        <v>7.416666666666667</v>
      </c>
      <c r="F30" s="45"/>
      <c r="G30" s="46">
        <f>IF(D30="","",D30-F30)</f>
        <v>9</v>
      </c>
      <c r="H30" s="46">
        <f>D30</f>
        <v>9</v>
      </c>
      <c r="I30" s="69"/>
      <c r="K30" s="105" t="s">
        <v>38</v>
      </c>
      <c r="L30" s="76" t="s">
        <v>9</v>
      </c>
      <c r="M30" s="74"/>
      <c r="N30" s="75" t="s">
        <v>10</v>
      </c>
      <c r="O30" s="55"/>
      <c r="P30" s="46">
        <f t="shared" ref="P30:P37" si="1">IF(C30="","",D30+F31)</f>
        <v>9</v>
      </c>
      <c r="Q30" s="46">
        <f>IF(C30="","",IF(D30="",Q29+P30+T29,P30))</f>
        <v>9</v>
      </c>
      <c r="R30" s="46">
        <f t="shared" ref="R30:R38" si="2">IF(C30="","",$I$20-Q30)</f>
        <v>3</v>
      </c>
      <c r="S30" s="47">
        <f t="shared" ref="S30:S31" si="3">IF(C30="","",IF(D30="",S29,S29-1))</f>
        <v>11</v>
      </c>
      <c r="T30" s="67">
        <f>IF(OR(C30="",S30=0),"",R30/S30)</f>
        <v>0.27272727272727271</v>
      </c>
    </row>
    <row r="31" spans="2:20" ht="16" customHeight="1" x14ac:dyDescent="0.2">
      <c r="B31" s="1">
        <v>2</v>
      </c>
      <c r="C31" s="63">
        <v>45716</v>
      </c>
      <c r="D31" s="11">
        <v>5</v>
      </c>
      <c r="E31" s="9">
        <f t="shared" si="0"/>
        <v>9.2727272727272734</v>
      </c>
      <c r="F31" s="45"/>
      <c r="G31" s="46">
        <f>IF(D31="","",D31)</f>
        <v>5</v>
      </c>
      <c r="H31" s="46">
        <f t="shared" ref="H31:H41" si="4">IF(D31="","",D31-D30)</f>
        <v>-4</v>
      </c>
      <c r="I31" s="69"/>
      <c r="K31" s="105"/>
      <c r="L31" s="77" t="s">
        <v>30</v>
      </c>
      <c r="M31" s="59" t="s">
        <v>39</v>
      </c>
      <c r="N31" s="79" t="s">
        <v>29</v>
      </c>
      <c r="P31" s="46">
        <f t="shared" si="1"/>
        <v>5</v>
      </c>
      <c r="Q31" s="46">
        <f t="shared" ref="Q31:Q33" si="5">IF(C31="","",IF(D31="",Q30+P31+T30,P31))</f>
        <v>5</v>
      </c>
      <c r="R31" s="46">
        <f t="shared" si="2"/>
        <v>7</v>
      </c>
      <c r="S31" s="47">
        <f t="shared" si="3"/>
        <v>10</v>
      </c>
      <c r="T31" s="67">
        <f t="shared" ref="T31:T37" si="6">IF(OR(C31="",S31=0),"",R31/S31)</f>
        <v>0.7</v>
      </c>
    </row>
    <row r="32" spans="2:20" ht="17" customHeight="1" x14ac:dyDescent="0.2">
      <c r="B32" s="1">
        <v>3</v>
      </c>
      <c r="C32" s="63">
        <v>45747</v>
      </c>
      <c r="D32" s="11">
        <v>6</v>
      </c>
      <c r="E32" s="9">
        <f t="shared" si="0"/>
        <v>5.7</v>
      </c>
      <c r="F32" s="45"/>
      <c r="G32" s="46">
        <f t="shared" ref="G32:G41" si="7">IF(D32="","",D32)</f>
        <v>6</v>
      </c>
      <c r="H32" s="46">
        <f t="shared" si="4"/>
        <v>1</v>
      </c>
      <c r="I32" s="69"/>
      <c r="K32" s="105"/>
      <c r="L32" s="77" t="s">
        <v>30</v>
      </c>
      <c r="M32" s="60" t="s">
        <v>40</v>
      </c>
      <c r="N32" s="51">
        <f>I21</f>
        <v>7</v>
      </c>
      <c r="O32" s="12" t="s">
        <v>43</v>
      </c>
      <c r="P32" s="46">
        <f t="shared" si="1"/>
        <v>6</v>
      </c>
      <c r="Q32" s="46">
        <f t="shared" si="5"/>
        <v>6</v>
      </c>
      <c r="R32" s="46">
        <f t="shared" si="2"/>
        <v>6</v>
      </c>
      <c r="S32" s="47">
        <f>IF(C32="","",S31-1)</f>
        <v>9</v>
      </c>
      <c r="T32" s="67">
        <f>IF(OR(C32="",S32=0),"",R32/S32)</f>
        <v>0.66666666666666663</v>
      </c>
    </row>
    <row r="33" spans="2:24" ht="16" customHeight="1" x14ac:dyDescent="0.2">
      <c r="B33" s="1">
        <v>4</v>
      </c>
      <c r="C33" s="63">
        <v>45777</v>
      </c>
      <c r="D33" s="11">
        <v>8</v>
      </c>
      <c r="E33" s="9">
        <f t="shared" si="0"/>
        <v>6.666666666666667</v>
      </c>
      <c r="F33" s="45"/>
      <c r="G33" s="46">
        <f t="shared" si="7"/>
        <v>8</v>
      </c>
      <c r="H33" s="46">
        <f t="shared" si="4"/>
        <v>2</v>
      </c>
      <c r="I33" s="69"/>
      <c r="K33" s="105"/>
      <c r="L33" s="78">
        <f>I21</f>
        <v>7</v>
      </c>
      <c r="M33" s="61" t="s">
        <v>37</v>
      </c>
      <c r="N33" s="58">
        <v>0</v>
      </c>
      <c r="O33" s="12" t="s">
        <v>42</v>
      </c>
      <c r="P33" s="46">
        <f t="shared" si="1"/>
        <v>8</v>
      </c>
      <c r="Q33" s="46">
        <f t="shared" si="5"/>
        <v>8</v>
      </c>
      <c r="R33" s="66">
        <f t="shared" si="2"/>
        <v>4</v>
      </c>
      <c r="S33" s="47">
        <f t="shared" ref="S33:S41" si="8">IF(C33="","",S32-1)</f>
        <v>8</v>
      </c>
      <c r="T33" s="67">
        <f t="shared" si="6"/>
        <v>0.5</v>
      </c>
    </row>
    <row r="34" spans="2:24" x14ac:dyDescent="0.2">
      <c r="B34" s="1">
        <v>5</v>
      </c>
      <c r="C34" s="63">
        <v>45808</v>
      </c>
      <c r="D34" s="11">
        <v>7.5</v>
      </c>
      <c r="E34" s="9">
        <f t="shared" si="0"/>
        <v>8.5</v>
      </c>
      <c r="F34" s="45"/>
      <c r="G34" s="46">
        <f t="shared" si="7"/>
        <v>7.5</v>
      </c>
      <c r="H34" s="46">
        <f t="shared" si="4"/>
        <v>-0.5</v>
      </c>
      <c r="I34" s="69"/>
      <c r="K34" s="12" t="s">
        <v>12</v>
      </c>
      <c r="L34" s="56"/>
      <c r="M34" s="55"/>
      <c r="N34" s="56"/>
      <c r="P34" s="46">
        <f t="shared" si="1"/>
        <v>8.8569999999999993</v>
      </c>
      <c r="Q34" s="46">
        <f>IF(C34="","",IF(D34="",Q33+P34+T33,P34))</f>
        <v>8.8569999999999993</v>
      </c>
      <c r="R34" s="46">
        <f t="shared" si="2"/>
        <v>3.1430000000000007</v>
      </c>
      <c r="S34" s="47">
        <f t="shared" si="8"/>
        <v>7</v>
      </c>
      <c r="T34" s="67">
        <f t="shared" si="6"/>
        <v>0.44900000000000012</v>
      </c>
    </row>
    <row r="35" spans="2:24" x14ac:dyDescent="0.2">
      <c r="B35" s="1">
        <v>6</v>
      </c>
      <c r="C35" s="63">
        <v>45838</v>
      </c>
      <c r="D35" s="11">
        <v>8.1999999999999993</v>
      </c>
      <c r="E35" s="9">
        <f t="shared" si="0"/>
        <v>7.9489999999999998</v>
      </c>
      <c r="F35" s="45">
        <v>1.357</v>
      </c>
      <c r="G35" s="46">
        <f t="shared" si="7"/>
        <v>8.1999999999999993</v>
      </c>
      <c r="H35" s="46">
        <f t="shared" si="4"/>
        <v>0.69999999999999929</v>
      </c>
      <c r="I35" s="69"/>
      <c r="K35" s="12" t="s">
        <v>44</v>
      </c>
      <c r="P35" s="46">
        <f t="shared" si="1"/>
        <v>8.1999999999999993</v>
      </c>
      <c r="Q35" s="46">
        <f t="shared" ref="Q35:Q41" si="9">IF(C35="","",IF(D35="",Q34+P35+T34,P35))</f>
        <v>8.1999999999999993</v>
      </c>
      <c r="R35" s="46">
        <f>IF(C35="","",$I$20-Q35)</f>
        <v>3.8000000000000007</v>
      </c>
      <c r="S35" s="47">
        <f t="shared" si="8"/>
        <v>6</v>
      </c>
      <c r="T35" s="67">
        <f>IF(OR(C35="",S35=0),"",R35/S35)</f>
        <v>0.63333333333333341</v>
      </c>
    </row>
    <row r="36" spans="2:24" x14ac:dyDescent="0.2">
      <c r="B36" s="1">
        <v>7</v>
      </c>
      <c r="C36" s="63">
        <v>45869</v>
      </c>
      <c r="D36" s="11">
        <v>8.9</v>
      </c>
      <c r="E36" s="9">
        <f t="shared" si="0"/>
        <v>8.8333333333333321</v>
      </c>
      <c r="F36" s="45"/>
      <c r="G36" s="46">
        <f t="shared" si="7"/>
        <v>8.9</v>
      </c>
      <c r="H36" s="46">
        <f t="shared" si="4"/>
        <v>0.70000000000000107</v>
      </c>
      <c r="I36" s="69"/>
      <c r="K36" s="12" t="s">
        <v>41</v>
      </c>
      <c r="L36" s="12"/>
      <c r="M36" s="57"/>
      <c r="N36" s="12"/>
      <c r="P36" s="46">
        <f t="shared" si="1"/>
        <v>8.9</v>
      </c>
      <c r="Q36" s="46">
        <f t="shared" si="9"/>
        <v>8.9</v>
      </c>
      <c r="R36" s="46">
        <f>IF(C36="","",$I$20-Q36)</f>
        <v>3.0999999999999996</v>
      </c>
      <c r="S36" s="47">
        <f t="shared" si="8"/>
        <v>5</v>
      </c>
      <c r="T36" s="67">
        <f t="shared" si="6"/>
        <v>0.61999999999999988</v>
      </c>
    </row>
    <row r="37" spans="2:24" x14ac:dyDescent="0.2">
      <c r="B37" s="1">
        <v>8</v>
      </c>
      <c r="C37" s="63">
        <v>45900</v>
      </c>
      <c r="D37" s="11">
        <v>11</v>
      </c>
      <c r="E37" s="9">
        <f t="shared" ref="E37:E41" si="10">IF(C37="","",IF(D36="",Q36+T36,D36+T36))</f>
        <v>9.52</v>
      </c>
      <c r="F37" s="45"/>
      <c r="G37" s="46">
        <f t="shared" si="7"/>
        <v>11</v>
      </c>
      <c r="H37" s="46">
        <f t="shared" si="4"/>
        <v>2.0999999999999996</v>
      </c>
      <c r="I37" s="69"/>
      <c r="K37" s="12" t="s">
        <v>45</v>
      </c>
      <c r="L37" s="12"/>
      <c r="M37" s="57"/>
      <c r="N37" s="12"/>
      <c r="P37" s="46">
        <f t="shared" si="1"/>
        <v>11</v>
      </c>
      <c r="Q37" s="46">
        <f t="shared" si="9"/>
        <v>11</v>
      </c>
      <c r="R37" s="46">
        <f t="shared" si="2"/>
        <v>1</v>
      </c>
      <c r="S37" s="47">
        <f t="shared" si="8"/>
        <v>4</v>
      </c>
      <c r="T37" s="67">
        <f t="shared" si="6"/>
        <v>0.25</v>
      </c>
    </row>
    <row r="38" spans="2:24" x14ac:dyDescent="0.2">
      <c r="B38" s="1">
        <v>9</v>
      </c>
      <c r="C38" s="63">
        <v>45930</v>
      </c>
      <c r="D38" s="11">
        <v>11.5</v>
      </c>
      <c r="E38" s="9">
        <f t="shared" si="10"/>
        <v>11.25</v>
      </c>
      <c r="F38" s="45"/>
      <c r="G38" s="46">
        <f t="shared" si="7"/>
        <v>11.5</v>
      </c>
      <c r="H38" s="46">
        <f t="shared" si="4"/>
        <v>0.5</v>
      </c>
      <c r="I38" s="69"/>
      <c r="K38" s="12" t="s">
        <v>51</v>
      </c>
      <c r="L38" s="12"/>
      <c r="M38" s="57"/>
      <c r="N38" s="12"/>
      <c r="P38" s="46">
        <f>IF(C38="","",D38+F39)</f>
        <v>11.5</v>
      </c>
      <c r="Q38" s="46">
        <f t="shared" si="9"/>
        <v>11.5</v>
      </c>
      <c r="R38" s="46">
        <f t="shared" si="2"/>
        <v>0.5</v>
      </c>
      <c r="S38" s="47">
        <f t="shared" si="8"/>
        <v>3</v>
      </c>
      <c r="T38" s="67">
        <f>IF(OR(C38="",S38=0),"",R38/S38)</f>
        <v>0.16666666666666666</v>
      </c>
    </row>
    <row r="39" spans="2:24" x14ac:dyDescent="0.2">
      <c r="B39" s="1">
        <v>10</v>
      </c>
      <c r="C39" s="63">
        <v>45961</v>
      </c>
      <c r="D39" s="11"/>
      <c r="E39" s="9">
        <f t="shared" si="10"/>
        <v>11.666666666666666</v>
      </c>
      <c r="F39" s="45"/>
      <c r="G39" s="46" t="str">
        <f t="shared" si="7"/>
        <v/>
      </c>
      <c r="H39" s="46" t="str">
        <f t="shared" si="4"/>
        <v/>
      </c>
      <c r="I39" s="69"/>
      <c r="P39" s="46">
        <f t="shared" ref="P39:P41" si="11">IF(C39="","",D39+F39)</f>
        <v>0</v>
      </c>
      <c r="Q39" s="46">
        <f t="shared" si="9"/>
        <v>11.666666666666666</v>
      </c>
      <c r="R39" s="46">
        <f>IF(C39="","",$I$20-Q39)</f>
        <v>0.33333333333333393</v>
      </c>
      <c r="S39" s="47">
        <f t="shared" si="8"/>
        <v>2</v>
      </c>
      <c r="T39" s="67">
        <f t="shared" ref="T39:T41" si="12">IF(OR(C39="",S39=0),"",R39/S39)</f>
        <v>0.16666666666666696</v>
      </c>
    </row>
    <row r="40" spans="2:24" x14ac:dyDescent="0.2">
      <c r="B40" s="1">
        <v>11</v>
      </c>
      <c r="C40" s="63">
        <v>45991</v>
      </c>
      <c r="D40" s="11"/>
      <c r="E40" s="9">
        <f t="shared" si="10"/>
        <v>11.833333333333332</v>
      </c>
      <c r="F40" s="45"/>
      <c r="G40" s="46" t="str">
        <f t="shared" si="7"/>
        <v/>
      </c>
      <c r="H40" s="46" t="str">
        <f t="shared" si="4"/>
        <v/>
      </c>
      <c r="I40" s="69"/>
      <c r="K40" s="19" t="s">
        <v>52</v>
      </c>
      <c r="P40" s="46">
        <f t="shared" si="11"/>
        <v>0</v>
      </c>
      <c r="Q40" s="46">
        <f t="shared" si="9"/>
        <v>11.833333333333332</v>
      </c>
      <c r="R40" s="46">
        <f t="shared" ref="R40:R41" si="13">IF(C40="","",$I$20-Q40)</f>
        <v>0.16666666666666785</v>
      </c>
      <c r="S40" s="47">
        <f t="shared" si="8"/>
        <v>1</v>
      </c>
      <c r="T40" s="48">
        <f t="shared" si="12"/>
        <v>0.16666666666666785</v>
      </c>
    </row>
    <row r="41" spans="2:24" ht="17" thickBot="1" x14ac:dyDescent="0.25">
      <c r="B41" s="2">
        <v>12</v>
      </c>
      <c r="C41" s="64">
        <v>46022</v>
      </c>
      <c r="D41" s="11"/>
      <c r="E41" s="9">
        <f t="shared" si="10"/>
        <v>12</v>
      </c>
      <c r="F41" s="49"/>
      <c r="G41" s="46" t="str">
        <f t="shared" si="7"/>
        <v/>
      </c>
      <c r="H41" s="46" t="str">
        <f t="shared" si="4"/>
        <v/>
      </c>
      <c r="I41" s="69"/>
      <c r="P41" s="46">
        <f t="shared" si="11"/>
        <v>0</v>
      </c>
      <c r="Q41" s="46">
        <f t="shared" si="9"/>
        <v>12</v>
      </c>
      <c r="R41" s="46">
        <f t="shared" si="13"/>
        <v>0</v>
      </c>
      <c r="S41" s="47">
        <f t="shared" si="8"/>
        <v>0</v>
      </c>
      <c r="T41" s="48" t="str">
        <f t="shared" si="12"/>
        <v/>
      </c>
    </row>
    <row r="47" spans="2:24" x14ac:dyDescent="0.2">
      <c r="X47" s="38"/>
    </row>
    <row r="48" spans="2:24" x14ac:dyDescent="0.2">
      <c r="X48" s="38"/>
    </row>
    <row r="49" spans="21:24" x14ac:dyDescent="0.2">
      <c r="X49" s="38"/>
    </row>
    <row r="50" spans="21:24" x14ac:dyDescent="0.2">
      <c r="U50" s="39"/>
      <c r="W50" s="40"/>
      <c r="X50" s="38"/>
    </row>
    <row r="74" spans="8:8" x14ac:dyDescent="0.2">
      <c r="H74" s="50"/>
    </row>
    <row r="75" spans="8:8" x14ac:dyDescent="0.2">
      <c r="H75" s="50"/>
    </row>
  </sheetData>
  <mergeCells count="18">
    <mergeCell ref="C19:E19"/>
    <mergeCell ref="B2:B12"/>
    <mergeCell ref="C2:N12"/>
    <mergeCell ref="B14:C16"/>
    <mergeCell ref="D14:N16"/>
    <mergeCell ref="C18:D18"/>
    <mergeCell ref="G19:H19"/>
    <mergeCell ref="G18:I18"/>
    <mergeCell ref="B27:C27"/>
    <mergeCell ref="R27:T27"/>
    <mergeCell ref="K30:K33"/>
    <mergeCell ref="B20:B21"/>
    <mergeCell ref="C20:E21"/>
    <mergeCell ref="K20:K23"/>
    <mergeCell ref="B22:B23"/>
    <mergeCell ref="C22:E23"/>
    <mergeCell ref="G20:H20"/>
    <mergeCell ref="G21:H21"/>
  </mergeCells>
  <conditionalFormatting sqref="L18">
    <cfRule type="containsText" dxfId="13" priority="5" stopIfTrue="1" operator="containsText" text="Red">
      <formula>NOT(ISERROR(SEARCH("Red",L18)))</formula>
    </cfRule>
    <cfRule type="containsText" dxfId="12" priority="6" stopIfTrue="1" operator="containsText" text="Yellow">
      <formula>NOT(ISERROR(SEARCH("Yellow",L18)))</formula>
    </cfRule>
    <cfRule type="containsText" dxfId="11" priority="7" stopIfTrue="1" operator="containsText" text="Green">
      <formula>NOT(ISERROR(SEARCH("Green",L18)))</formula>
    </cfRule>
  </conditionalFormatting>
  <conditionalFormatting sqref="D30:D41">
    <cfRule type="containsBlanks" dxfId="10" priority="48" stopIfTrue="1">
      <formula>LEN(TRIM(D30))=0</formula>
    </cfRule>
    <cfRule type="cellIs" dxfId="9" priority="49" stopIfTrue="1" operator="lessThan">
      <formula>$L$33</formula>
    </cfRule>
    <cfRule type="cellIs" dxfId="8" priority="50" stopIfTrue="1" operator="greaterThanOrEqual">
      <formula>E30</formula>
    </cfRule>
    <cfRule type="cellIs" dxfId="7" priority="51" operator="lessThan">
      <formula>E30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moveMonth">
                <anchor moveWithCells="1" sizeWithCells="1">
                  <from>
                    <xdr:col>7</xdr:col>
                    <xdr:colOff>711200</xdr:colOff>
                    <xdr:row>24</xdr:row>
                    <xdr:rowOff>127000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Month">
                <anchor moveWithCells="1" sizeWithCells="1">
                  <from>
                    <xdr:col>6</xdr:col>
                    <xdr:colOff>63500</xdr:colOff>
                    <xdr:row>24</xdr:row>
                    <xdr:rowOff>114300</xdr:rowOff>
                  </from>
                  <to>
                    <xdr:col>7</xdr:col>
                    <xdr:colOff>558800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22568-D47C-F14B-9CD5-7A1513043277}">
  <sheetPr codeName="Sheet3"/>
  <dimension ref="B2:X88"/>
  <sheetViews>
    <sheetView showGridLines="0" zoomScale="120" zoomScaleNormal="120" workbookViewId="0">
      <selection activeCell="J25" sqref="J25"/>
    </sheetView>
  </sheetViews>
  <sheetFormatPr baseColWidth="10" defaultRowHeight="16" x14ac:dyDescent="0.2"/>
  <cols>
    <col min="1" max="1" width="10.83203125" style="19"/>
    <col min="2" max="2" width="12.33203125" style="19" customWidth="1"/>
    <col min="3" max="3" width="11.1640625" style="19" bestFit="1" customWidth="1"/>
    <col min="4" max="4" width="10.5" style="19" customWidth="1"/>
    <col min="5" max="5" width="12.6640625" style="19" customWidth="1"/>
    <col min="6" max="6" width="12.33203125" style="19" customWidth="1"/>
    <col min="7" max="7" width="11.1640625" style="19" bestFit="1" customWidth="1"/>
    <col min="8" max="8" width="12.83203125" style="19" customWidth="1"/>
    <col min="9" max="9" width="10.83203125" style="19"/>
    <col min="10" max="10" width="14.6640625" style="19" customWidth="1"/>
    <col min="11" max="11" width="13" style="19" customWidth="1"/>
    <col min="12" max="12" width="14" style="19" customWidth="1"/>
    <col min="13" max="13" width="18.33203125" style="19" customWidth="1"/>
    <col min="14" max="14" width="13.1640625" style="19" customWidth="1"/>
    <col min="15" max="15" width="5" style="19" customWidth="1"/>
    <col min="16" max="17" width="9.6640625" style="19" hidden="1" customWidth="1"/>
    <col min="18" max="18" width="10" style="19" hidden="1" customWidth="1"/>
    <col min="19" max="19" width="9.5" style="19" hidden="1" customWidth="1"/>
    <col min="20" max="20" width="12.5" style="19" hidden="1" customWidth="1"/>
    <col min="21" max="21" width="0.1640625" style="19" hidden="1" customWidth="1"/>
    <col min="22" max="22" width="14.5" style="19" bestFit="1" customWidth="1"/>
    <col min="23" max="16384" width="10.83203125" style="19"/>
  </cols>
  <sheetData>
    <row r="2" spans="2:16" ht="16" customHeight="1" x14ac:dyDescent="0.2">
      <c r="B2" s="123" t="s">
        <v>20</v>
      </c>
      <c r="C2" s="124" t="s">
        <v>53</v>
      </c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</row>
    <row r="3" spans="2:16" ht="20" customHeight="1" x14ac:dyDescent="0.2">
      <c r="B3" s="123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</row>
    <row r="4" spans="2:16" ht="16" customHeight="1" x14ac:dyDescent="0.2">
      <c r="B4" s="123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</row>
    <row r="5" spans="2:16" ht="16" customHeight="1" x14ac:dyDescent="0.2">
      <c r="B5" s="123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</row>
    <row r="6" spans="2:16" ht="15" customHeight="1" x14ac:dyDescent="0.2">
      <c r="B6" s="123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</row>
    <row r="7" spans="2:16" ht="15" customHeight="1" x14ac:dyDescent="0.2">
      <c r="B7" s="123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</row>
    <row r="8" spans="2:16" ht="15" customHeight="1" x14ac:dyDescent="0.2"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</row>
    <row r="9" spans="2:16" ht="16" customHeight="1" x14ac:dyDescent="0.2">
      <c r="B9" s="123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</row>
    <row r="10" spans="2:16" ht="16" customHeight="1" x14ac:dyDescent="0.2">
      <c r="B10" s="123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</row>
    <row r="11" spans="2:16" ht="16" customHeight="1" x14ac:dyDescent="0.2">
      <c r="B11" s="123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</row>
    <row r="12" spans="2:16" x14ac:dyDescent="0.2">
      <c r="B12" s="123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</row>
    <row r="13" spans="2:16" ht="17" thickBot="1" x14ac:dyDescent="0.25"/>
    <row r="14" spans="2:16" ht="16" customHeight="1" x14ac:dyDescent="0.2">
      <c r="B14" s="125" t="s">
        <v>0</v>
      </c>
      <c r="C14" s="126"/>
      <c r="D14" s="131" t="s">
        <v>1</v>
      </c>
      <c r="E14" s="131"/>
      <c r="F14" s="131"/>
      <c r="G14" s="131"/>
      <c r="H14" s="131"/>
      <c r="I14" s="131"/>
      <c r="J14" s="131"/>
      <c r="K14" s="131"/>
      <c r="L14" s="131"/>
      <c r="M14" s="131"/>
      <c r="N14" s="141"/>
      <c r="O14" s="20"/>
      <c r="P14" s="21"/>
    </row>
    <row r="15" spans="2:16" ht="16" customHeight="1" x14ac:dyDescent="0.2">
      <c r="B15" s="127"/>
      <c r="C15" s="128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3"/>
      <c r="O15" s="20"/>
      <c r="P15" s="21"/>
    </row>
    <row r="16" spans="2:16" ht="17" customHeight="1" thickBot="1" x14ac:dyDescent="0.25">
      <c r="B16" s="129"/>
      <c r="C16" s="130"/>
      <c r="D16" s="144"/>
      <c r="E16" s="144"/>
      <c r="F16" s="144"/>
      <c r="G16" s="144"/>
      <c r="H16" s="144"/>
      <c r="I16" s="144"/>
      <c r="J16" s="144"/>
      <c r="K16" s="144"/>
      <c r="L16" s="144"/>
      <c r="M16" s="144"/>
      <c r="N16" s="145"/>
      <c r="O16" s="20"/>
      <c r="P16" s="21"/>
    </row>
    <row r="17" spans="2:20" x14ac:dyDescent="0.2">
      <c r="B17" s="22"/>
      <c r="C17" s="22"/>
      <c r="D17" s="22"/>
      <c r="E17" s="22"/>
      <c r="F17" s="22"/>
      <c r="G17" s="22"/>
      <c r="I17" s="22"/>
    </row>
    <row r="18" spans="2:20" x14ac:dyDescent="0.2">
      <c r="B18" s="23" t="s">
        <v>2</v>
      </c>
      <c r="C18" s="138" t="s">
        <v>3</v>
      </c>
      <c r="D18" s="146"/>
      <c r="E18" s="24" t="s">
        <v>4</v>
      </c>
      <c r="F18" s="25"/>
      <c r="G18" s="140" t="s">
        <v>36</v>
      </c>
      <c r="H18" s="140"/>
      <c r="I18" s="140"/>
      <c r="K18" s="23" t="s">
        <v>49</v>
      </c>
      <c r="L18" s="26" t="str" cm="1">
        <f t="array" ref="L18">IF(AND(LOOKUP(2,1/(ISNUMBER(G30:G41)),G30:G41)&gt; N21,LOOKUP(2,1/(ISNUMBER(G30:G41)),G30:G41) &lt;= L21), "Green",
  IF(AND(LOOKUP(2,1/(ISNUMBER(G30:G41)),G30:G41) &gt; N22,LOOKUP(2,1/(ISNUMBER(G30:G41)),G30:G41) &lt;= L22), "Yellow",
  IF(AND(LOOKUP(2,1/(ISNUMBER(G30:G41)),G30:G41) &gt; N23,LOOKUP(2,1/(ISNUMBER(G30:G41)),G30:G41) &lt;= L23), "Red", "Out of Bounds")))</f>
        <v>Green</v>
      </c>
    </row>
    <row r="19" spans="2:20" ht="17" x14ac:dyDescent="0.2">
      <c r="B19" s="23" t="s">
        <v>5</v>
      </c>
      <c r="C19" s="106" t="s">
        <v>6</v>
      </c>
      <c r="D19" s="107"/>
      <c r="E19" s="108"/>
      <c r="F19" s="27"/>
      <c r="G19" s="109" t="s">
        <v>32</v>
      </c>
      <c r="H19" s="109"/>
      <c r="I19" s="8" t="s">
        <v>31</v>
      </c>
      <c r="M19" s="28"/>
    </row>
    <row r="20" spans="2:20" ht="16" customHeight="1" x14ac:dyDescent="0.2">
      <c r="B20" s="110" t="s">
        <v>7</v>
      </c>
      <c r="C20" s="112" t="s">
        <v>8</v>
      </c>
      <c r="D20" s="113"/>
      <c r="E20" s="114"/>
      <c r="F20" s="27"/>
      <c r="G20" s="118" t="s">
        <v>25</v>
      </c>
      <c r="H20" s="119"/>
      <c r="I20" s="89">
        <v>500000</v>
      </c>
      <c r="K20" s="105" t="s">
        <v>50</v>
      </c>
      <c r="L20" s="76" t="s">
        <v>9</v>
      </c>
      <c r="M20" s="30"/>
      <c r="N20" s="96" t="s">
        <v>10</v>
      </c>
    </row>
    <row r="21" spans="2:20" ht="15" customHeight="1" x14ac:dyDescent="0.2">
      <c r="B21" s="111"/>
      <c r="C21" s="115"/>
      <c r="D21" s="116"/>
      <c r="E21" s="117"/>
      <c r="F21" s="27"/>
      <c r="G21" s="121" t="s">
        <v>55</v>
      </c>
      <c r="H21" s="119"/>
      <c r="I21" s="89">
        <v>300000</v>
      </c>
      <c r="K21" s="105"/>
      <c r="L21" s="95">
        <v>500000</v>
      </c>
      <c r="M21" s="31" t="s">
        <v>11</v>
      </c>
      <c r="N21" s="97">
        <v>400000</v>
      </c>
      <c r="O21" s="12" t="s">
        <v>12</v>
      </c>
    </row>
    <row r="22" spans="2:20" ht="17" customHeight="1" x14ac:dyDescent="0.2">
      <c r="B22" s="110" t="s">
        <v>13</v>
      </c>
      <c r="C22" s="112" t="s">
        <v>14</v>
      </c>
      <c r="D22" s="113"/>
      <c r="E22" s="114"/>
      <c r="F22" s="28"/>
      <c r="G22" s="54"/>
      <c r="K22" s="105"/>
      <c r="L22" s="95">
        <v>400000</v>
      </c>
      <c r="M22" s="32" t="s">
        <v>11</v>
      </c>
      <c r="N22" s="97">
        <v>30000</v>
      </c>
      <c r="O22" s="12" t="s">
        <v>15</v>
      </c>
    </row>
    <row r="23" spans="2:20" ht="17" x14ac:dyDescent="0.2">
      <c r="B23" s="111"/>
      <c r="C23" s="115"/>
      <c r="D23" s="116"/>
      <c r="E23" s="117"/>
      <c r="F23" s="28"/>
      <c r="G23" s="28"/>
      <c r="K23" s="120"/>
      <c r="L23" s="95">
        <v>30000</v>
      </c>
      <c r="M23" s="33" t="s">
        <v>16</v>
      </c>
      <c r="N23" s="97">
        <v>500</v>
      </c>
    </row>
    <row r="24" spans="2:20" x14ac:dyDescent="0.2">
      <c r="B24" s="23" t="s">
        <v>17</v>
      </c>
      <c r="C24" s="34" t="s">
        <v>18</v>
      </c>
      <c r="D24" s="34" t="s">
        <v>19</v>
      </c>
      <c r="E24" s="35">
        <v>2025</v>
      </c>
      <c r="F24" s="28"/>
      <c r="G24" s="28"/>
    </row>
    <row r="25" spans="2:20" ht="17" customHeight="1" x14ac:dyDescent="0.2">
      <c r="H25" s="36"/>
    </row>
    <row r="26" spans="2:20" ht="16" customHeight="1" thickBot="1" x14ac:dyDescent="0.25"/>
    <row r="27" spans="2:20" ht="20" thickBot="1" x14ac:dyDescent="0.3">
      <c r="B27" s="102" t="s">
        <v>21</v>
      </c>
      <c r="C27" s="103"/>
      <c r="R27" s="104" t="s">
        <v>35</v>
      </c>
      <c r="S27" s="104"/>
      <c r="T27" s="104"/>
    </row>
    <row r="28" spans="2:20" ht="34" x14ac:dyDescent="0.2">
      <c r="B28" s="6" t="s">
        <v>22</v>
      </c>
      <c r="C28" s="13" t="s">
        <v>23</v>
      </c>
      <c r="D28" s="14" t="s">
        <v>29</v>
      </c>
      <c r="E28" s="15" t="s">
        <v>30</v>
      </c>
      <c r="F28" s="15" t="s">
        <v>26</v>
      </c>
      <c r="G28" s="15" t="s">
        <v>24</v>
      </c>
      <c r="H28" s="15" t="s">
        <v>46</v>
      </c>
      <c r="P28" s="13" t="s">
        <v>47</v>
      </c>
      <c r="Q28" s="13" t="s">
        <v>48</v>
      </c>
      <c r="R28" s="13" t="s">
        <v>27</v>
      </c>
      <c r="S28" s="13" t="s">
        <v>28</v>
      </c>
      <c r="T28" s="37" t="s">
        <v>34</v>
      </c>
    </row>
    <row r="29" spans="2:20" hidden="1" x14ac:dyDescent="0.2">
      <c r="B29" s="10">
        <v>0</v>
      </c>
      <c r="C29" s="13"/>
      <c r="D29" s="52">
        <f>I21+F29</f>
        <v>300000</v>
      </c>
      <c r="E29" s="13"/>
      <c r="F29" s="13"/>
      <c r="G29" s="42">
        <f>D29</f>
        <v>300000</v>
      </c>
      <c r="H29" s="16"/>
      <c r="P29" s="42">
        <f>D29+F29</f>
        <v>300000</v>
      </c>
      <c r="Q29" s="42">
        <f>P29</f>
        <v>300000</v>
      </c>
      <c r="R29" s="42">
        <f>I20-I21</f>
        <v>200000</v>
      </c>
      <c r="S29" s="16">
        <f>COUNT(C30:C41)</f>
        <v>12</v>
      </c>
      <c r="T29" s="44">
        <f>R29/S29</f>
        <v>16666.666666666668</v>
      </c>
    </row>
    <row r="30" spans="2:20" ht="16" customHeight="1" x14ac:dyDescent="0.2">
      <c r="B30" s="1">
        <v>1</v>
      </c>
      <c r="C30" s="63">
        <v>45688</v>
      </c>
      <c r="D30" s="90">
        <v>0</v>
      </c>
      <c r="E30" s="91">
        <f>T29</f>
        <v>16666.666666666668</v>
      </c>
      <c r="F30" s="92"/>
      <c r="G30" s="93">
        <f>IF(D30="","",G29+D30+F30)</f>
        <v>300000</v>
      </c>
      <c r="H30" s="93">
        <f>D30</f>
        <v>0</v>
      </c>
      <c r="K30" s="105" t="s">
        <v>38</v>
      </c>
      <c r="L30" s="76" t="s">
        <v>9</v>
      </c>
      <c r="M30" s="74"/>
      <c r="N30" s="75" t="s">
        <v>10</v>
      </c>
      <c r="O30" s="55"/>
      <c r="P30" s="46">
        <f t="shared" ref="P30:P41" si="0">IF(C30="","",D30+F31)</f>
        <v>0</v>
      </c>
      <c r="Q30" s="46">
        <f t="shared" ref="Q30:Q41" si="1">IF(C30="","",IF(D30="",P30+Q29+T29,Q29+P30))</f>
        <v>300000</v>
      </c>
      <c r="R30" s="46">
        <f t="shared" ref="R30" si="2">IF(C30="","",$I$20-Q30)</f>
        <v>200000</v>
      </c>
      <c r="S30" s="47">
        <f t="shared" ref="S30:S36" si="3">IF(C30="","",S29-1)</f>
        <v>11</v>
      </c>
      <c r="T30" s="48">
        <f>IF(OR(C30="",S30=0),"",R30/S30)</f>
        <v>18181.81818181818</v>
      </c>
    </row>
    <row r="31" spans="2:20" ht="16" customHeight="1" x14ac:dyDescent="0.2">
      <c r="B31" s="1">
        <v>2</v>
      </c>
      <c r="C31" s="63">
        <v>45716</v>
      </c>
      <c r="D31" s="90">
        <v>0</v>
      </c>
      <c r="E31" s="91">
        <f>IF(C31="","",T30)</f>
        <v>18181.81818181818</v>
      </c>
      <c r="F31" s="92"/>
      <c r="G31" s="93">
        <f t="shared" ref="G31:G41" si="4">IF(D31="","",G30+D31+F31)</f>
        <v>300000</v>
      </c>
      <c r="H31" s="93">
        <f t="shared" ref="H31:H37" si="5">IF(D31="","",D31-D30)</f>
        <v>0</v>
      </c>
      <c r="K31" s="105"/>
      <c r="L31" s="77" t="s">
        <v>30</v>
      </c>
      <c r="M31" s="59" t="s">
        <v>39</v>
      </c>
      <c r="N31" s="79" t="s">
        <v>29</v>
      </c>
      <c r="P31" s="46">
        <f t="shared" si="0"/>
        <v>0</v>
      </c>
      <c r="Q31" s="46">
        <f t="shared" si="1"/>
        <v>300000</v>
      </c>
      <c r="R31" s="46">
        <f t="shared" ref="R31:R41" si="6">IF(C31="","",$I$20-Q31)</f>
        <v>200000</v>
      </c>
      <c r="S31" s="47">
        <f t="shared" si="3"/>
        <v>10</v>
      </c>
      <c r="T31" s="48">
        <f t="shared" ref="T31:T37" si="7">IF(OR(C31="",S31=0),"",R31/S31)</f>
        <v>20000</v>
      </c>
    </row>
    <row r="32" spans="2:20" ht="18" customHeight="1" x14ac:dyDescent="0.2">
      <c r="B32" s="1">
        <v>3</v>
      </c>
      <c r="C32" s="63">
        <v>45747</v>
      </c>
      <c r="D32" s="90">
        <v>0</v>
      </c>
      <c r="E32" s="91">
        <f t="shared" ref="E32" si="8">IF(C32="","",T31)</f>
        <v>20000</v>
      </c>
      <c r="F32" s="92"/>
      <c r="G32" s="93">
        <f t="shared" si="4"/>
        <v>300000</v>
      </c>
      <c r="H32" s="93">
        <f t="shared" si="5"/>
        <v>0</v>
      </c>
      <c r="K32" s="105"/>
      <c r="L32" s="77" t="s">
        <v>30</v>
      </c>
      <c r="M32" s="60" t="s">
        <v>40</v>
      </c>
      <c r="N32" s="97">
        <v>20000</v>
      </c>
      <c r="O32" s="12" t="s">
        <v>43</v>
      </c>
      <c r="P32" s="46">
        <f t="shared" si="0"/>
        <v>0</v>
      </c>
      <c r="Q32" s="46">
        <f t="shared" si="1"/>
        <v>300000</v>
      </c>
      <c r="R32" s="46">
        <f t="shared" si="6"/>
        <v>200000</v>
      </c>
      <c r="S32" s="47">
        <f t="shared" si="3"/>
        <v>9</v>
      </c>
      <c r="T32" s="48">
        <f>IF(OR(C32="",S32=0),"",R32/S32)</f>
        <v>22222.222222222223</v>
      </c>
    </row>
    <row r="33" spans="2:24" ht="16" customHeight="1" x14ac:dyDescent="0.2">
      <c r="B33" s="1">
        <v>4</v>
      </c>
      <c r="C33" s="63">
        <v>45777</v>
      </c>
      <c r="D33" s="90">
        <v>0</v>
      </c>
      <c r="E33" s="91">
        <f t="shared" ref="E33:E41" si="9">IF(C33="","",T32)</f>
        <v>22222.222222222223</v>
      </c>
      <c r="F33" s="92"/>
      <c r="G33" s="93">
        <f t="shared" si="4"/>
        <v>300000</v>
      </c>
      <c r="H33" s="93">
        <f t="shared" si="5"/>
        <v>0</v>
      </c>
      <c r="K33" s="105"/>
      <c r="L33" s="95">
        <v>20000</v>
      </c>
      <c r="M33" s="61" t="s">
        <v>37</v>
      </c>
      <c r="N33" s="98">
        <v>0</v>
      </c>
      <c r="O33" s="12" t="s">
        <v>42</v>
      </c>
      <c r="P33" s="46">
        <f t="shared" si="0"/>
        <v>0</v>
      </c>
      <c r="Q33" s="46">
        <f t="shared" si="1"/>
        <v>300000</v>
      </c>
      <c r="R33" s="46">
        <f t="shared" si="6"/>
        <v>200000</v>
      </c>
      <c r="S33" s="47">
        <f t="shared" si="3"/>
        <v>8</v>
      </c>
      <c r="T33" s="48">
        <f t="shared" si="7"/>
        <v>25000</v>
      </c>
    </row>
    <row r="34" spans="2:24" x14ac:dyDescent="0.2">
      <c r="B34" s="1">
        <v>5</v>
      </c>
      <c r="C34" s="63">
        <v>45808</v>
      </c>
      <c r="D34" s="90">
        <v>0</v>
      </c>
      <c r="E34" s="91">
        <f t="shared" si="9"/>
        <v>25000</v>
      </c>
      <c r="F34" s="92"/>
      <c r="G34" s="93">
        <f t="shared" si="4"/>
        <v>300000</v>
      </c>
      <c r="H34" s="93">
        <f t="shared" si="5"/>
        <v>0</v>
      </c>
      <c r="K34" s="12" t="s">
        <v>12</v>
      </c>
      <c r="L34" s="56"/>
      <c r="M34" s="55"/>
      <c r="N34" s="56"/>
      <c r="P34" s="46">
        <f t="shared" si="0"/>
        <v>0</v>
      </c>
      <c r="Q34" s="46">
        <f t="shared" si="1"/>
        <v>300000</v>
      </c>
      <c r="R34" s="46">
        <f t="shared" si="6"/>
        <v>200000</v>
      </c>
      <c r="S34" s="47">
        <f t="shared" si="3"/>
        <v>7</v>
      </c>
      <c r="T34" s="48">
        <f t="shared" si="7"/>
        <v>28571.428571428572</v>
      </c>
    </row>
    <row r="35" spans="2:24" x14ac:dyDescent="0.2">
      <c r="B35" s="1">
        <v>6</v>
      </c>
      <c r="C35" s="63">
        <v>45838</v>
      </c>
      <c r="D35" s="90">
        <v>30000</v>
      </c>
      <c r="E35" s="91">
        <f t="shared" si="9"/>
        <v>28571.428571428572</v>
      </c>
      <c r="F35" s="92"/>
      <c r="G35" s="93">
        <f t="shared" si="4"/>
        <v>330000</v>
      </c>
      <c r="H35" s="93">
        <f t="shared" si="5"/>
        <v>30000</v>
      </c>
      <c r="K35" s="12" t="s">
        <v>44</v>
      </c>
      <c r="P35" s="46">
        <f t="shared" si="0"/>
        <v>30000</v>
      </c>
      <c r="Q35" s="46">
        <f t="shared" si="1"/>
        <v>330000</v>
      </c>
      <c r="R35" s="46">
        <f t="shared" si="6"/>
        <v>170000</v>
      </c>
      <c r="S35" s="47">
        <f t="shared" si="3"/>
        <v>6</v>
      </c>
      <c r="T35" s="48">
        <f t="shared" si="7"/>
        <v>28333.333333333332</v>
      </c>
    </row>
    <row r="36" spans="2:24" x14ac:dyDescent="0.2">
      <c r="B36" s="1">
        <v>7</v>
      </c>
      <c r="C36" s="63">
        <v>45869</v>
      </c>
      <c r="D36" s="90">
        <v>60000</v>
      </c>
      <c r="E36" s="91">
        <f t="shared" si="9"/>
        <v>28333.333333333332</v>
      </c>
      <c r="F36" s="92"/>
      <c r="G36" s="93">
        <f t="shared" si="4"/>
        <v>390000</v>
      </c>
      <c r="H36" s="93">
        <f t="shared" si="5"/>
        <v>30000</v>
      </c>
      <c r="K36" s="12" t="s">
        <v>41</v>
      </c>
      <c r="L36" s="12"/>
      <c r="M36" s="57"/>
      <c r="N36" s="12"/>
      <c r="P36" s="46">
        <f t="shared" si="0"/>
        <v>60000</v>
      </c>
      <c r="Q36" s="46">
        <f t="shared" si="1"/>
        <v>390000</v>
      </c>
      <c r="R36" s="46">
        <f t="shared" si="6"/>
        <v>110000</v>
      </c>
      <c r="S36" s="47">
        <f t="shared" si="3"/>
        <v>5</v>
      </c>
      <c r="T36" s="48">
        <f t="shared" si="7"/>
        <v>22000</v>
      </c>
    </row>
    <row r="37" spans="2:24" x14ac:dyDescent="0.2">
      <c r="B37" s="1">
        <v>8</v>
      </c>
      <c r="C37" s="63">
        <v>45900</v>
      </c>
      <c r="D37" s="90">
        <v>20000</v>
      </c>
      <c r="E37" s="91">
        <f t="shared" si="9"/>
        <v>22000</v>
      </c>
      <c r="F37" s="92"/>
      <c r="G37" s="93">
        <f t="shared" si="4"/>
        <v>410000</v>
      </c>
      <c r="H37" s="93">
        <f t="shared" si="5"/>
        <v>-40000</v>
      </c>
      <c r="K37" s="12" t="s">
        <v>45</v>
      </c>
      <c r="L37" s="12"/>
      <c r="M37" s="57"/>
      <c r="N37" s="12"/>
      <c r="P37" s="46">
        <f t="shared" si="0"/>
        <v>20000</v>
      </c>
      <c r="Q37" s="46">
        <f t="shared" si="1"/>
        <v>410000</v>
      </c>
      <c r="R37" s="46">
        <f t="shared" si="6"/>
        <v>90000</v>
      </c>
      <c r="S37" s="47">
        <f>IF(C37="","",S36-1)</f>
        <v>4</v>
      </c>
      <c r="T37" s="48">
        <f t="shared" si="7"/>
        <v>22500</v>
      </c>
    </row>
    <row r="38" spans="2:24" x14ac:dyDescent="0.2">
      <c r="B38" s="1">
        <v>9</v>
      </c>
      <c r="C38" s="63">
        <v>45930</v>
      </c>
      <c r="D38" s="90">
        <v>25000</v>
      </c>
      <c r="E38" s="91">
        <f t="shared" si="9"/>
        <v>22500</v>
      </c>
      <c r="F38" s="92"/>
      <c r="G38" s="93">
        <f t="shared" si="4"/>
        <v>435000</v>
      </c>
      <c r="H38" s="93">
        <f>IF(D38="","",D38-D37)</f>
        <v>5000</v>
      </c>
      <c r="K38" s="12" t="s">
        <v>51</v>
      </c>
      <c r="L38" s="12"/>
      <c r="M38" s="57"/>
      <c r="N38" s="12"/>
      <c r="P38" s="46">
        <f t="shared" si="0"/>
        <v>25000</v>
      </c>
      <c r="Q38" s="46">
        <f t="shared" si="1"/>
        <v>435000</v>
      </c>
      <c r="R38" s="46">
        <f t="shared" si="6"/>
        <v>65000</v>
      </c>
      <c r="S38" s="47">
        <f t="shared" ref="S38:S41" si="10">IF(C38="","",S37-1)</f>
        <v>3</v>
      </c>
      <c r="T38" s="48">
        <f>IF(OR(C38="",S38=0),"",R38/S38)</f>
        <v>21666.666666666668</v>
      </c>
    </row>
    <row r="39" spans="2:24" x14ac:dyDescent="0.2">
      <c r="B39" s="1">
        <v>10</v>
      </c>
      <c r="C39" s="63">
        <v>45961</v>
      </c>
      <c r="D39" s="90">
        <v>20000</v>
      </c>
      <c r="E39" s="91">
        <f t="shared" si="9"/>
        <v>21666.666666666668</v>
      </c>
      <c r="F39" s="92"/>
      <c r="G39" s="93">
        <f t="shared" si="4"/>
        <v>455000</v>
      </c>
      <c r="H39" s="93">
        <f t="shared" ref="H39:H41" si="11">IF(D39="","",D39-D38)</f>
        <v>-5000</v>
      </c>
      <c r="P39" s="46">
        <f t="shared" si="0"/>
        <v>20000</v>
      </c>
      <c r="Q39" s="46">
        <f t="shared" si="1"/>
        <v>455000</v>
      </c>
      <c r="R39" s="46">
        <f t="shared" si="6"/>
        <v>45000</v>
      </c>
      <c r="S39" s="47">
        <f t="shared" si="10"/>
        <v>2</v>
      </c>
      <c r="T39" s="48">
        <f t="shared" ref="T39:T41" si="12">IF(OR(C39="",S39=0),"",R39/S39)</f>
        <v>22500</v>
      </c>
    </row>
    <row r="40" spans="2:24" x14ac:dyDescent="0.2">
      <c r="B40" s="1">
        <v>11</v>
      </c>
      <c r="C40" s="63">
        <v>45991</v>
      </c>
      <c r="D40" s="90"/>
      <c r="E40" s="91">
        <f t="shared" si="9"/>
        <v>22500</v>
      </c>
      <c r="F40" s="92"/>
      <c r="G40" s="93" t="str">
        <f t="shared" si="4"/>
        <v/>
      </c>
      <c r="H40" s="93" t="str">
        <f t="shared" si="11"/>
        <v/>
      </c>
      <c r="K40" s="19" t="s">
        <v>52</v>
      </c>
      <c r="P40" s="46">
        <f t="shared" si="0"/>
        <v>0</v>
      </c>
      <c r="Q40" s="46">
        <f t="shared" si="1"/>
        <v>477500</v>
      </c>
      <c r="R40" s="46">
        <f t="shared" si="6"/>
        <v>22500</v>
      </c>
      <c r="S40" s="47">
        <f t="shared" si="10"/>
        <v>1</v>
      </c>
      <c r="T40" s="48">
        <f t="shared" si="12"/>
        <v>22500</v>
      </c>
    </row>
    <row r="41" spans="2:24" ht="17" thickBot="1" x14ac:dyDescent="0.25">
      <c r="B41" s="2">
        <v>12</v>
      </c>
      <c r="C41" s="63">
        <v>46022</v>
      </c>
      <c r="D41" s="90"/>
      <c r="E41" s="91">
        <f t="shared" si="9"/>
        <v>22500</v>
      </c>
      <c r="F41" s="94"/>
      <c r="G41" s="93" t="str">
        <f t="shared" si="4"/>
        <v/>
      </c>
      <c r="H41" s="93" t="str">
        <f t="shared" si="11"/>
        <v/>
      </c>
      <c r="P41" s="46">
        <f t="shared" si="0"/>
        <v>0</v>
      </c>
      <c r="Q41" s="46">
        <f t="shared" si="1"/>
        <v>500000</v>
      </c>
      <c r="R41" s="46">
        <f t="shared" si="6"/>
        <v>0</v>
      </c>
      <c r="S41" s="47">
        <f t="shared" si="10"/>
        <v>0</v>
      </c>
      <c r="T41" s="48" t="str">
        <f t="shared" si="12"/>
        <v/>
      </c>
    </row>
    <row r="42" spans="2:24" x14ac:dyDescent="0.2">
      <c r="B42" s="12" t="s">
        <v>54</v>
      </c>
      <c r="C42" s="62"/>
    </row>
    <row r="43" spans="2:24" x14ac:dyDescent="0.2">
      <c r="C43" s="62"/>
    </row>
    <row r="44" spans="2:24" x14ac:dyDescent="0.2">
      <c r="C44" s="62"/>
    </row>
    <row r="45" spans="2:24" x14ac:dyDescent="0.2">
      <c r="C45" s="62"/>
    </row>
    <row r="46" spans="2:24" x14ac:dyDescent="0.2">
      <c r="C46" s="62"/>
    </row>
    <row r="47" spans="2:24" x14ac:dyDescent="0.2">
      <c r="C47" s="62"/>
      <c r="X47" s="38"/>
    </row>
    <row r="48" spans="2:24" x14ac:dyDescent="0.2">
      <c r="C48" s="62"/>
      <c r="X48" s="38"/>
    </row>
    <row r="49" spans="3:24" x14ac:dyDescent="0.2">
      <c r="C49" s="62"/>
      <c r="X49" s="38"/>
    </row>
    <row r="50" spans="3:24" x14ac:dyDescent="0.2">
      <c r="C50" s="62"/>
      <c r="U50" s="39"/>
      <c r="W50" s="40"/>
      <c r="X50" s="38"/>
    </row>
    <row r="51" spans="3:24" x14ac:dyDescent="0.2">
      <c r="O51" s="19" t="s">
        <v>33</v>
      </c>
    </row>
    <row r="76" spans="8:8" ht="17" customHeight="1" x14ac:dyDescent="0.2"/>
    <row r="77" spans="8:8" x14ac:dyDescent="0.2">
      <c r="H77" s="53"/>
    </row>
    <row r="78" spans="8:8" ht="30" customHeight="1" x14ac:dyDescent="0.2">
      <c r="H78" s="5"/>
    </row>
    <row r="79" spans="8:8" x14ac:dyDescent="0.2">
      <c r="H79" s="50"/>
    </row>
    <row r="80" spans="8:8" x14ac:dyDescent="0.2">
      <c r="H80" s="50"/>
    </row>
    <row r="81" spans="8:8" x14ac:dyDescent="0.2">
      <c r="H81" s="50"/>
    </row>
    <row r="82" spans="8:8" x14ac:dyDescent="0.2">
      <c r="H82" s="50"/>
    </row>
    <row r="83" spans="8:8" x14ac:dyDescent="0.2">
      <c r="H83" s="50"/>
    </row>
    <row r="84" spans="8:8" x14ac:dyDescent="0.2">
      <c r="H84" s="50"/>
    </row>
    <row r="85" spans="8:8" x14ac:dyDescent="0.2">
      <c r="H85" s="50"/>
    </row>
    <row r="86" spans="8:8" x14ac:dyDescent="0.2">
      <c r="H86" s="50"/>
    </row>
    <row r="87" spans="8:8" x14ac:dyDescent="0.2">
      <c r="H87" s="50"/>
    </row>
    <row r="88" spans="8:8" x14ac:dyDescent="0.2">
      <c r="H88" s="50"/>
    </row>
  </sheetData>
  <mergeCells count="18">
    <mergeCell ref="G19:H19"/>
    <mergeCell ref="G18:I18"/>
    <mergeCell ref="B27:C27"/>
    <mergeCell ref="R27:T27"/>
    <mergeCell ref="K30:K33"/>
    <mergeCell ref="B2:B12"/>
    <mergeCell ref="C2:N12"/>
    <mergeCell ref="B20:B21"/>
    <mergeCell ref="C20:E21"/>
    <mergeCell ref="K20:K23"/>
    <mergeCell ref="B22:B23"/>
    <mergeCell ref="C22:E23"/>
    <mergeCell ref="G20:H20"/>
    <mergeCell ref="G21:H21"/>
    <mergeCell ref="C19:E19"/>
    <mergeCell ref="B14:C16"/>
    <mergeCell ref="D14:N16"/>
    <mergeCell ref="C18:D18"/>
  </mergeCells>
  <conditionalFormatting sqref="D30:D41">
    <cfRule type="containsBlanks" dxfId="6" priority="5" stopIfTrue="1">
      <formula>LEN(TRIM(D30))=0</formula>
    </cfRule>
    <cfRule type="cellIs" dxfId="5" priority="6" stopIfTrue="1" operator="lessThan">
      <formula>$L$33</formula>
    </cfRule>
    <cfRule type="cellIs" dxfId="4" priority="7" stopIfTrue="1" operator="greaterThanOrEqual">
      <formula>E30</formula>
    </cfRule>
    <cfRule type="cellIs" dxfId="3" priority="8" operator="lessThan">
      <formula>E30</formula>
    </cfRule>
  </conditionalFormatting>
  <conditionalFormatting sqref="L18">
    <cfRule type="containsText" dxfId="2" priority="1" stopIfTrue="1" operator="containsText" text="Red">
      <formula>NOT(ISERROR(SEARCH("Red",L18)))</formula>
    </cfRule>
    <cfRule type="containsText" dxfId="1" priority="2" stopIfTrue="1" operator="containsText" text="Yellow">
      <formula>NOT(ISERROR(SEARCH("Yellow",L18)))</formula>
    </cfRule>
    <cfRule type="containsText" dxfId="0" priority="3" stopIfTrue="1" operator="containsText" text="Green">
      <formula>NOT(ISERROR(SEARCH("Green",L18)))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moveMonth">
                <anchor moveWithCells="1" sizeWithCells="1">
                  <from>
                    <xdr:col>7</xdr:col>
                    <xdr:colOff>609600</xdr:colOff>
                    <xdr:row>24</xdr:row>
                    <xdr:rowOff>101600</xdr:rowOff>
                  </from>
                  <to>
                    <xdr:col>8</xdr:col>
                    <xdr:colOff>812800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ddMonth">
                <anchor moveWithCells="1" sizeWithCells="1">
                  <from>
                    <xdr:col>5</xdr:col>
                    <xdr:colOff>927100</xdr:colOff>
                    <xdr:row>24</xdr:row>
                    <xdr:rowOff>101600</xdr:rowOff>
                  </from>
                  <to>
                    <xdr:col>7</xdr:col>
                    <xdr:colOff>482600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Percentage (eg Traceability)</vt:lpstr>
      <vt:lpstr>Average (eg UPH)</vt:lpstr>
      <vt:lpstr>Numbers (eg Testing)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Prasad, Akash</dc:creator>
  <cp:lastModifiedBy>Prasad, Akash</cp:lastModifiedBy>
  <dcterms:created xsi:type="dcterms:W3CDTF">2025-05-21T02:04:05Z</dcterms:created>
  <dcterms:modified xsi:type="dcterms:W3CDTF">2025-06-17T18:27:44Z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29eed6f-34eb-4453-9f97-09510b9b219f_Enabled">
    <vt:lpwstr>true</vt:lpwstr>
  </property>
  <property fmtid="{D5CDD505-2E9C-101B-9397-08002B2CF9AE}" pid="3" name="MSIP_Label_929eed6f-34eb-4453-9f97-09510b9b219f_SetDate">
    <vt:lpwstr>2025-06-15T16:36:05Z</vt:lpwstr>
  </property>
  <property fmtid="{D5CDD505-2E9C-101B-9397-08002B2CF9AE}" pid="4" name="MSIP_Label_929eed6f-34eb-4453-9f97-09510b9b219f_Method">
    <vt:lpwstr>Privileged</vt:lpwstr>
  </property>
  <property fmtid="{D5CDD505-2E9C-101B-9397-08002B2CF9AE}" pid="5" name="MSIP_Label_929eed6f-34eb-4453-9f97-09510b9b219f_Name">
    <vt:lpwstr>Amazon Pending_Classification</vt:lpwstr>
  </property>
  <property fmtid="{D5CDD505-2E9C-101B-9397-08002B2CF9AE}" pid="6" name="MSIP_Label_929eed6f-34eb-4453-9f97-09510b9b219f_SiteId">
    <vt:lpwstr>5280104a-472d-4538-9ccf-1e1d0efe8b1b</vt:lpwstr>
  </property>
  <property fmtid="{D5CDD505-2E9C-101B-9397-08002B2CF9AE}" pid="7" name="MSIP_Label_929eed6f-34eb-4453-9f97-09510b9b219f_ActionId">
    <vt:lpwstr>02ed1487-8ec2-42d0-8551-1cdc1f8f95f3</vt:lpwstr>
  </property>
  <property fmtid="{D5CDD505-2E9C-101B-9397-08002B2CF9AE}" pid="8" name="MSIP_Label_929eed6f-34eb-4453-9f97-09510b9b219f_ContentBits">
    <vt:lpwstr>0</vt:lpwstr>
  </property>
  <property fmtid="{D5CDD505-2E9C-101B-9397-08002B2CF9AE}" pid="9" name="MSIP_Label_929eed6f-34eb-4453-9f97-09510b9b219f_Tag">
    <vt:lpwstr>50, 0, 1, 1</vt:lpwstr>
  </property>
</Properties>
</file>